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ccounts" sheetId="2" state="visible" r:id="rId4"/>
    <sheet name="Adjustments" sheetId="3" state="visible" r:id="rId5"/>
    <sheet name="Withheld" sheetId="4" state="visible" r:id="rId6"/>
    <sheet name="Excluded" sheetId="5" state="visible" r:id="rId7"/>
    <sheet name="Carl Crosland" sheetId="6" state="visible" r:id="rId8"/>
    <sheet name="Nathan Lewis" sheetId="7" state="visible" r:id="rId9"/>
    <sheet name="Jordan Naylor" sheetId="8" state="visible" r:id="rId10"/>
    <sheet name="Brian Gwyn" sheetId="9" state="visible" r:id="rId11"/>
    <sheet name="Ryan Kelsey" sheetId="10" state="visible" r:id="rId12"/>
    <sheet name="Nick Brown" sheetId="11" state="visible" r:id="rId13"/>
    <sheet name="Brandon Simpson" sheetId="12" state="visible" r:id="rId14"/>
    <sheet name="Shawn Harding" sheetId="13" state="visible" r:id="rId15"/>
    <sheet name="Todd Hess" sheetId="14" state="visible" r:id="rId16"/>
    <sheet name="Kimberly Simmerman" sheetId="15" state="visible" r:id="rId17"/>
    <sheet name="Chase Merrell" sheetId="16" state="visible" r:id="rId18"/>
    <sheet name="Isabella Basanta" sheetId="17" state="visible" r:id="rId19"/>
    <sheet name="Colter Busk" sheetId="18" state="visible" r:id="rId20"/>
    <sheet name="Giancarlo Stoffels" sheetId="19" state="visible" r:id="rId21"/>
    <sheet name="Zackary Johnston" sheetId="20" state="visible" r:id="rId22"/>
    <sheet name="Kerrigan Simpson" sheetId="21" state="visible" r:id="rId23"/>
    <sheet name="Camille Gerritsen" sheetId="22" state="visible" r:id="rId24"/>
    <sheet name="Ethan Saxton" sheetId="23" state="visible" r:id="rId25"/>
    <sheet name="Kress Johnson" sheetId="24" state="visible" r:id="rId26"/>
    <sheet name="Dane Covington" sheetId="25" state="visible" r:id="rId27"/>
    <sheet name="Diane Oswald" sheetId="26" state="visible" r:id="rId28"/>
    <sheet name="Travis Dykman" sheetId="27" state="visible" r:id="rId29"/>
    <sheet name="Alan Fransen" sheetId="28" state="visible" r:id="rId30"/>
    <sheet name="Terry Xanthos" sheetId="29" state="visible" r:id="rId31"/>
    <sheet name="Lane Coffey" sheetId="30" state="visible" r:id="rId32"/>
    <sheet name="Blake Holmes" sheetId="31" state="visible" r:id="rId33"/>
    <sheet name="Jonathan Jensen" sheetId="32" state="visible" r:id="rId34"/>
  </sheets>
  <definedNames>
    <definedName function="false" hidden="true" localSheetId="1" name="_xlnm._FilterDatabase" vbProcedure="false">Accounts!$A$1:$J$94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<sst xmlns="http://schemas.openxmlformats.org/spreadsheetml/2006/main" count="1903" uniqueCount="262">
  <si>
    <t xml:space="preserve">Vivid Windows - Payroll Oct 16, 2026</t>
  </si>
  <si>
    <t xml:space="preserve">Deals closing Wed Sep 30 - Tue Oct 6, 2026, plus released holds, summer weekly bonus for September and change-order true-ups on commission. Left out of every figure here: Vivid Adder, Recruiting bonus and Override - see the Excluded tab.</t>
  </si>
  <si>
    <t xml:space="preserve">Pay run</t>
  </si>
  <si>
    <t xml:space="preserve">Person</t>
  </si>
  <si>
    <t xml:space="preserve">Team</t>
  </si>
  <si>
    <t xml:space="preserve">Role</t>
  </si>
  <si>
    <t xml:space="preserve">Setter commission</t>
  </si>
  <si>
    <t xml:space="preserve">Closer commission</t>
  </si>
  <si>
    <t xml:space="preserve">Commission</t>
  </si>
  <si>
    <t xml:space="preserve">Summer bonus</t>
  </si>
  <si>
    <t xml:space="preserve">Change orders</t>
  </si>
  <si>
    <t xml:space="preserve">Adjustments</t>
  </si>
  <si>
    <t xml:space="preserve">Total</t>
  </si>
  <si>
    <t xml:space="preserve">Held back (not paid)</t>
  </si>
  <si>
    <t xml:space="preserve">2026-10-16</t>
  </si>
  <si>
    <t xml:space="preserve">Carl Crosland</t>
  </si>
  <si>
    <t xml:space="preserve">Northern Utah</t>
  </si>
  <si>
    <t xml:space="preserve">Sales Consultant</t>
  </si>
  <si>
    <t xml:space="preserve">Nathan Lewis</t>
  </si>
  <si>
    <t xml:space="preserve">Northern California</t>
  </si>
  <si>
    <t xml:space="preserve">Jordan Naylor</t>
  </si>
  <si>
    <t xml:space="preserve">Southern Utah</t>
  </si>
  <si>
    <t xml:space="preserve">Brian Gwyn</t>
  </si>
  <si>
    <t xml:space="preserve">Eastern Idaho</t>
  </si>
  <si>
    <t xml:space="preserve">Ryan Kelsey</t>
  </si>
  <si>
    <t xml:space="preserve">Nick Brown</t>
  </si>
  <si>
    <t xml:space="preserve">Brandon Simpson</t>
  </si>
  <si>
    <t xml:space="preserve">Shawn Harding</t>
  </si>
  <si>
    <t xml:space="preserve">Todd Hess</t>
  </si>
  <si>
    <t xml:space="preserve">Kimberly Simmerman</t>
  </si>
  <si>
    <t xml:space="preserve">Chase Merrell</t>
  </si>
  <si>
    <t xml:space="preserve">Isabella Basanta</t>
  </si>
  <si>
    <t xml:space="preserve">Colter Busk</t>
  </si>
  <si>
    <t xml:space="preserve">Giancarlo Stoffels</t>
  </si>
  <si>
    <t xml:space="preserve">Zackary Johnston</t>
  </si>
  <si>
    <t xml:space="preserve">Kerrigan Simpson</t>
  </si>
  <si>
    <t xml:space="preserve">Camille Gerritsen</t>
  </si>
  <si>
    <t xml:space="preserve">Ethan Saxton</t>
  </si>
  <si>
    <t xml:space="preserve">Kress Johnson</t>
  </si>
  <si>
    <t xml:space="preserve">Dane Covington</t>
  </si>
  <si>
    <t xml:space="preserve">Diane Oswald</t>
  </si>
  <si>
    <t xml:space="preserve">Travis Dykman</t>
  </si>
  <si>
    <t xml:space="preserve">Alan Fransen</t>
  </si>
  <si>
    <t xml:space="preserve">Terry Xanthos</t>
  </si>
  <si>
    <t xml:space="preserve">Lane Coffey</t>
  </si>
  <si>
    <t xml:space="preserve">Blake Holmes</t>
  </si>
  <si>
    <t xml:space="preserve">Jonathan Jensen</t>
  </si>
  <si>
    <t xml:space="preserve">TOTAL</t>
  </si>
  <si>
    <t xml:space="preserve">Dashboard total for this run before exclusions</t>
  </si>
  <si>
    <t xml:space="preserve">Taken out (Excluded tab)</t>
  </si>
  <si>
    <t xml:space="preserve">People whose only pay this run was excluded are not listed; they appear on the Excluded tab.</t>
  </si>
  <si>
    <t xml:space="preserve">Kind</t>
  </si>
  <si>
    <t xml:space="preserve">Earned as</t>
  </si>
  <si>
    <t xml:space="preserve">Account</t>
  </si>
  <si>
    <t xml:space="preserve">Closed</t>
  </si>
  <si>
    <t xml:space="preserve">Contract value</t>
  </si>
  <si>
    <t xml:space="preserve">Paid on</t>
  </si>
  <si>
    <t xml:space="preserve">Amount</t>
  </si>
  <si>
    <t xml:space="preserve">Note</t>
  </si>
  <si>
    <t xml:space="preserve">Change order</t>
  </si>
  <si>
    <t xml:space="preserve">TRACEY  USCOLA / 217 W 5th  N</t>
  </si>
  <si>
    <t xml:space="preserve">2026-03-26</t>
  </si>
  <si>
    <t xml:space="preserve">Contract value moved after it was paid</t>
  </si>
  <si>
    <t xml:space="preserve">Setter, +4%</t>
  </si>
  <si>
    <t xml:space="preserve">Mark Earnhardt / 1 Starwood Dr</t>
  </si>
  <si>
    <t xml:space="preserve">2026-09-14</t>
  </si>
  <si>
    <t xml:space="preserve">3 deals set in the week of Sep 13, 2026</t>
  </si>
  <si>
    <t xml:space="preserve">Bob Oldenburg / 3771 Sparrow Dr</t>
  </si>
  <si>
    <t xml:space="preserve">2026-09-15</t>
  </si>
  <si>
    <t xml:space="preserve">Self-gen</t>
  </si>
  <si>
    <t xml:space="preserve">Laron Crosland / 2217 W Windchime Dr</t>
  </si>
  <si>
    <t xml:space="preserve">2026-09-19</t>
  </si>
  <si>
    <t xml:space="preserve">Set and closed by the same person · setter $2,196.30 + closer $3,953.34 · Released from an earlier run · Released from an earlier run</t>
  </si>
  <si>
    <t xml:space="preserve">Amanda Morning Star / 120 Riverview 3  E</t>
  </si>
  <si>
    <t xml:space="preserve">2026-07-21</t>
  </si>
  <si>
    <t xml:space="preserve">Closer</t>
  </si>
  <si>
    <t xml:space="preserve">Brett &amp; Jennie Lefevre / 2817 S 2460 E</t>
  </si>
  <si>
    <t xml:space="preserve">2026-09-26</t>
  </si>
  <si>
    <t xml:space="preserve">Released from an earlier run</t>
  </si>
  <si>
    <t xml:space="preserve">Tara &amp; Vincent Turpin / 1109 Babcock Blvd</t>
  </si>
  <si>
    <t xml:space="preserve">2026-10-05</t>
  </si>
  <si>
    <t xml:space="preserve">MARIA PALMER / 11394 E 25th Pl</t>
  </si>
  <si>
    <t xml:space="preserve">2026-05-30</t>
  </si>
  <si>
    <t xml:space="preserve">Darrell &amp; Maggie Phillips / 2220 Pintura Dr</t>
  </si>
  <si>
    <t xml:space="preserve">2026-09-09</t>
  </si>
  <si>
    <t xml:space="preserve">Mical &amp; Elaine Terry / 993 N 2075 East Cir</t>
  </si>
  <si>
    <t xml:space="preserve">2026-10-01</t>
  </si>
  <si>
    <t xml:space="preserve">Gauge &amp; Samantha Kevern / 1099 Cedar Knls S</t>
  </si>
  <si>
    <t xml:space="preserve">2026-10-02</t>
  </si>
  <si>
    <t xml:space="preserve">Karri Holland / 920 W Elva St</t>
  </si>
  <si>
    <t xml:space="preserve">2026-06-16</t>
  </si>
  <si>
    <t xml:space="preserve">Set and closed by the same person · setter commission -$128.55 + closer commission -$231.39 · Contract value moved after it was paid</t>
  </si>
  <si>
    <t xml:space="preserve">Robert &amp; Maria Becker / 2405 3rd Ave N</t>
  </si>
  <si>
    <t xml:space="preserve">2026-09-30</t>
  </si>
  <si>
    <t xml:space="preserve">Set and closed by the same person · setter $2,376.50 + closer $4,277.70</t>
  </si>
  <si>
    <t xml:space="preserve">Daniel &amp; Jennie Sue Gutierrez / 1507 Ammon St</t>
  </si>
  <si>
    <t xml:space="preserve">Set and closed by the same person · setter $500.05 + closer $900.09</t>
  </si>
  <si>
    <t xml:space="preserve">Lewis Disbrow / 2473 Pine St</t>
  </si>
  <si>
    <t xml:space="preserve">2026-09-08</t>
  </si>
  <si>
    <t xml:space="preserve">Set and closed by the same person · setter $2,150.15 + closer $3,870.27 · Released from an earlier run · Released from an earlier run</t>
  </si>
  <si>
    <t xml:space="preserve">Setter, +2%</t>
  </si>
  <si>
    <t xml:space="preserve">2 deals set in the week of Sep 6, 2026</t>
  </si>
  <si>
    <t xml:space="preserve">Karen Tomajan / 623 Pasa Tiempo Ct</t>
  </si>
  <si>
    <t xml:space="preserve">2026-09-12</t>
  </si>
  <si>
    <t xml:space="preserve">Shawna Williams / 2213 Pauline Dr</t>
  </si>
  <si>
    <t xml:space="preserve">Joy Hepworth / 131 Willard Ave</t>
  </si>
  <si>
    <t xml:space="preserve">2026-09-10</t>
  </si>
  <si>
    <t xml:space="preserve">Robert Peraino / 3255 Humble Rd</t>
  </si>
  <si>
    <t xml:space="preserve">Russell Simmons / 100 Sharon Dr</t>
  </si>
  <si>
    <t xml:space="preserve">2026-09-23</t>
  </si>
  <si>
    <t xml:space="preserve">3 deals set in the week of Sep 20, 2026</t>
  </si>
  <si>
    <t xml:space="preserve">Kasey Morris / 1330 Country Home Ln</t>
  </si>
  <si>
    <t xml:space="preserve">2026-09-24</t>
  </si>
  <si>
    <t xml:space="preserve">Kali Dubose / 213 18th Ave NW</t>
  </si>
  <si>
    <t xml:space="preserve">2026-09-25</t>
  </si>
  <si>
    <t xml:space="preserve">Brett Breaud / 1 Prospect Way</t>
  </si>
  <si>
    <t xml:space="preserve">Clay Skinner / 297 Westview Dr</t>
  </si>
  <si>
    <t xml:space="preserve">2026-10-06</t>
  </si>
  <si>
    <t xml:space="preserve">Choti Skousen / 17 Marthas Ct</t>
  </si>
  <si>
    <t xml:space="preserve">6 deals set in the week of Sep 6, 2026</t>
  </si>
  <si>
    <t xml:space="preserve">Gretchen Murray / 27 Canyon View Dr</t>
  </si>
  <si>
    <t xml:space="preserve">Susan Quillen / 4600 Lerch Ln</t>
  </si>
  <si>
    <t xml:space="preserve">2026-09-11</t>
  </si>
  <si>
    <t xml:space="preserve">Vicky Thorpe / 515 Utah Ave</t>
  </si>
  <si>
    <t xml:space="preserve">Mitchell Jesse / 7787 Bear Dr</t>
  </si>
  <si>
    <t xml:space="preserve">Sandy Brown / 7875 Bear Dr</t>
  </si>
  <si>
    <t xml:space="preserve">Mike Debolt / 311 24th St SW</t>
  </si>
  <si>
    <t xml:space="preserve">2 deals set in the week of Sep 20, 2026</t>
  </si>
  <si>
    <t xml:space="preserve">Susette Schabarker / 423 31st St NW</t>
  </si>
  <si>
    <t xml:space="preserve">Joseph Canete / 413 Van Buren Ave</t>
  </si>
  <si>
    <t xml:space="preserve">2026-09-28</t>
  </si>
  <si>
    <t xml:space="preserve">2 deals set in the week of Sep 27, 2026</t>
  </si>
  <si>
    <t xml:space="preserve">Setter</t>
  </si>
  <si>
    <t xml:space="preserve">Melissa Shandley / 298 Washington Blvd</t>
  </si>
  <si>
    <t xml:space="preserve">Timothy Broadbrooks / 3472 Ayden Rd</t>
  </si>
  <si>
    <t xml:space="preserve">6 deals set in the week of Sep 13, 2026</t>
  </si>
  <si>
    <t xml:space="preserve">Chad Guymon / 3755 Pioneer Park Dr</t>
  </si>
  <si>
    <t xml:space="preserve">Karen O'Donnell / 3216 Harness Loop</t>
  </si>
  <si>
    <t xml:space="preserve">Jennifer Listerud / 3243 Harness Loop</t>
  </si>
  <si>
    <t xml:space="preserve">Jason Brenna / 703 E Riggs St</t>
  </si>
  <si>
    <t xml:space="preserve">2026-09-17</t>
  </si>
  <si>
    <t xml:space="preserve">Kathy Jacobsen / 3220 Rocky Rd</t>
  </si>
  <si>
    <t xml:space="preserve">2026-09-18</t>
  </si>
  <si>
    <t xml:space="preserve">Donald Nicholls / 2505 N 6900 W</t>
  </si>
  <si>
    <t xml:space="preserve">Corey Anderson / 215 S 300 E</t>
  </si>
  <si>
    <t xml:space="preserve">Roger Gold 2 / 12 N Cove Dr</t>
  </si>
  <si>
    <t xml:space="preserve">Carlos &amp; Yanina Becco / 1004 S 860 W</t>
  </si>
  <si>
    <t xml:space="preserve">Marilyn Grainger / 996 S 860 W</t>
  </si>
  <si>
    <t xml:space="preserve">Michael Monday / 192 Quiet Water Ave</t>
  </si>
  <si>
    <t xml:space="preserve">2026-09-16</t>
  </si>
  <si>
    <t xml:space="preserve">Jennifer Gaghen / 430 Wigwam Trl</t>
  </si>
  <si>
    <t xml:space="preserve">Steven French / 475 Wigwam Trl</t>
  </si>
  <si>
    <t xml:space="preserve">Rachel Bond / 4330 Cougar Dr</t>
  </si>
  <si>
    <t xml:space="preserve">4 deals set in the week of Sep 13, 2026</t>
  </si>
  <si>
    <t xml:space="preserve">Nicholas Hamm / 4432 Red Fox Dr</t>
  </si>
  <si>
    <t xml:space="preserve">Marshall Peterson / 2635 Sundance Dr</t>
  </si>
  <si>
    <t xml:space="preserve">Joshua Fraley / 3825 Remington St</t>
  </si>
  <si>
    <t xml:space="preserve">Mario Ricardo Torres Laboriel / 636 E 300 N</t>
  </si>
  <si>
    <t xml:space="preserve">Linda &amp; Dusty McLeod / 2504 Interlachen Dr</t>
  </si>
  <si>
    <t xml:space="preserve">2 deals set in the week of Sep 13, 2026</t>
  </si>
  <si>
    <t xml:space="preserve">Donald &amp; Nikki Groshans / 2705 Mast Cir</t>
  </si>
  <si>
    <t xml:space="preserve">Manuel Fagundes / 67 Embry Ln</t>
  </si>
  <si>
    <t xml:space="preserve">2026-09-27</t>
  </si>
  <si>
    <t xml:space="preserve">Celia &amp; Mike Morse / 237 2nd St NW</t>
  </si>
  <si>
    <t xml:space="preserve">Phil Bushilla / 701 Red Letter St</t>
  </si>
  <si>
    <t xml:space="preserve">Zoe Bushilla / 2514 Heritage Dr</t>
  </si>
  <si>
    <t xml:space="preserve">Brian Morris / 2102 Turmaline Ct</t>
  </si>
  <si>
    <t xml:space="preserve">Kathleenn Koford / 15 S Raleigh St</t>
  </si>
  <si>
    <t xml:space="preserve">Maralene Spawn / 1242 Cortez Ave</t>
  </si>
  <si>
    <t xml:space="preserve">Darlene Bohl / 1082 Sierra Granda Blvd</t>
  </si>
  <si>
    <t xml:space="preserve">Cindy Sahli / 3941 Rimrock Rd</t>
  </si>
  <si>
    <t xml:space="preserve">Nathan Royer / 4245 Palisades Park Dr</t>
  </si>
  <si>
    <t xml:space="preserve">James Burdick / 1902 Wilder Ave</t>
  </si>
  <si>
    <t xml:space="preserve">2026-09-13</t>
  </si>
  <si>
    <t xml:space="preserve">Mike Bakke / 1122 Choteau St</t>
  </si>
  <si>
    <t xml:space="preserve">Bryant Gauthier / 1827 Hollins Ave</t>
  </si>
  <si>
    <t xml:space="preserve">Lisa &amp; John Matz / 4119 June Dr</t>
  </si>
  <si>
    <t xml:space="preserve">Shawn &amp; Angela Hannah / 551 Tabriz Dr</t>
  </si>
  <si>
    <t xml:space="preserve">Forrest Barnes / 237 N 4300 E</t>
  </si>
  <si>
    <t xml:space="preserve">Thomas Strong / 4124 E 230 N</t>
  </si>
  <si>
    <t xml:space="preserve">Christine Warner / 121 Dallas St</t>
  </si>
  <si>
    <t xml:space="preserve">Dennis Vaillancourt / 212 Pine St</t>
  </si>
  <si>
    <t xml:space="preserve">Summer weekly bonus</t>
  </si>
  <si>
    <t xml:space="preserve">Type</t>
  </si>
  <si>
    <t xml:space="preserve">Reason</t>
  </si>
  <si>
    <t xml:space="preserve">Chargeback</t>
  </si>
  <si>
    <t xml:space="preserve">Teema McIntosh / 6819 Red Cloud Trl - Cancelled after the 3-day ROC window</t>
  </si>
  <si>
    <t xml:space="preserve">Leg</t>
  </si>
  <si>
    <t xml:space="preserve">Held since</t>
  </si>
  <si>
    <t xml:space="preserve">Placed by</t>
  </si>
  <si>
    <t xml:space="preserve">Would have paid in</t>
  </si>
  <si>
    <t xml:space="preserve">Withheld</t>
  </si>
  <si>
    <t xml:space="preserve">Matt &amp; Shauna Bevan / 272 Saddle Dr</t>
  </si>
  <si>
    <t xml:space="preserve">2026-10-09</t>
  </si>
  <si>
    <t xml:space="preserve">Customer financing not approved</t>
  </si>
  <si>
    <t xml:space="preserve">2026-10-15</t>
  </si>
  <si>
    <t xml:space="preserve">The CRM</t>
  </si>
  <si>
    <t xml:space="preserve">Oct 23, 2026</t>
  </si>
  <si>
    <t xml:space="preserve">Tammy Buckley / 31 Jefferson Dr</t>
  </si>
  <si>
    <t xml:space="preserve">2026-09-22</t>
  </si>
  <si>
    <t xml:space="preserve">2026-09-29</t>
  </si>
  <si>
    <t xml:space="preserve">Oct 2, 2026</t>
  </si>
  <si>
    <t xml:space="preserve">Steven Nelson / 132 Bearlake Dr</t>
  </si>
  <si>
    <t xml:space="preserve">2026-09-04</t>
  </si>
  <si>
    <t xml:space="preserve">Abipsha Joshi</t>
  </si>
  <si>
    <t xml:space="preserve">Sep 18, 2026</t>
  </si>
  <si>
    <t xml:space="preserve">Not payable - every leg on hold across the ledger, not only this run</t>
  </si>
  <si>
    <t xml:space="preserve">Left out of the Oct 16, 2026 payroll</t>
  </si>
  <si>
    <t xml:space="preserve">What the dashboard would have paid on this run but this report does not. Nothing here is in the Summary.</t>
  </si>
  <si>
    <t xml:space="preserve">Recruiting (Sep)</t>
  </si>
  <si>
    <t xml:space="preserve">Override (Sep)</t>
  </si>
  <si>
    <t xml:space="preserve">Vivid Adder (Q2)</t>
  </si>
  <si>
    <t xml:space="preserve">Recruiting / Override change orders</t>
  </si>
  <si>
    <t xml:space="preserve">Excluded total</t>
  </si>
  <si>
    <t xml:space="preserve">JJ Gurney</t>
  </si>
  <si>
    <t xml:space="preserve">Tyler Mickelsen</t>
  </si>
  <si>
    <t xml:space="preserve">Mavryck Holmgren</t>
  </si>
  <si>
    <t xml:space="preserve">Brady Bethers</t>
  </si>
  <si>
    <t xml:space="preserve">Brock Morrison</t>
  </si>
  <si>
    <t xml:space="preserve">Boden Black</t>
  </si>
  <si>
    <t xml:space="preserve">Mario Torres</t>
  </si>
  <si>
    <t xml:space="preserve">Scott Heer</t>
  </si>
  <si>
    <t xml:space="preserve">Excluded change-order lines (recruiting and override true-ups)</t>
  </si>
  <si>
    <t xml:space="preserve">Override Northern Utah</t>
  </si>
  <si>
    <t xml:space="preserve">Recruiting L1 on Jordan Naylor</t>
  </si>
  <si>
    <t xml:space="preserve">Recruiting L1 on Colter Busk</t>
  </si>
  <si>
    <t xml:space="preserve">Override Southern Utah</t>
  </si>
  <si>
    <t xml:space="preserve">Recruiting L1 on Jonathan Jensen</t>
  </si>
  <si>
    <t xml:space="preserve">Recruiting L1 on Dane Covington</t>
  </si>
  <si>
    <t xml:space="preserve">Recruiting L2 on Dane Covington</t>
  </si>
  <si>
    <t xml:space="preserve">Recruiting L1 on Carl Crosland</t>
  </si>
  <si>
    <t xml:space="preserve">Recruiting L1 on Brian Gwyn</t>
  </si>
  <si>
    <t xml:space="preserve">Recruiting L1 on Nathan Lewis</t>
  </si>
  <si>
    <t xml:space="preserve">Recruiting L2 on Jordan Naylor</t>
  </si>
  <si>
    <t xml:space="preserve">Recruiting L2 on Colter Busk</t>
  </si>
  <si>
    <t xml:space="preserve">Recruiting L2 on Jonathan Jensen</t>
  </si>
  <si>
    <t xml:space="preserve">Excluded Vivid Adder lines</t>
  </si>
  <si>
    <t xml:space="preserve">Vivid Adder</t>
  </si>
  <si>
    <t xml:space="preserve">Vivid Adder - Q2 2026 - 2 adders at $500 on 2 deals closed Apr 1, 2026 - Jun 30, 2026</t>
  </si>
  <si>
    <t xml:space="preserve">Vivid Adder - Q2 2026 - 5 adders at $500 on 2 deals closed Apr 1, 2026 - Jun 30, 2026</t>
  </si>
  <si>
    <t xml:space="preserve">Vivid Adder - Q2 2026 - 1 adder at $500 on 1 deal closed Apr 1, 2026 - Jun 30, 2026</t>
  </si>
  <si>
    <t xml:space="preserve">Vivid Adder - Q2 2026 - 6 adders at $500 on 3 deals closed Apr 1, 2026 - Jun 30, 2026</t>
  </si>
  <si>
    <t xml:space="preserve">Vivid Adder - Q2 2026 - 1 adder taken back at $500 on 1 deal closed Apr 1, 2026 - Jun 30, 2026</t>
  </si>
  <si>
    <t xml:space="preserve">Vivid Adder - Q2 2026 - 59 adders at $500 on 18 deals closed Apr 1, 2026 - Jun 30, 2026</t>
  </si>
  <si>
    <t xml:space="preserve">Vivid Adder - Q2 2026 - 3 adders at $500 on 3 deals closed Apr 1, 2026 - Jun 30, 2026</t>
  </si>
  <si>
    <t xml:space="preserve">Oct 16, 2026 run</t>
  </si>
  <si>
    <t xml:space="preserve">Northern Utah - Sales Consultant</t>
  </si>
  <si>
    <t xml:space="preserve">Change order - Setter commission</t>
  </si>
  <si>
    <t xml:space="preserve">Summer bonus - Setter, +4%</t>
  </si>
  <si>
    <t xml:space="preserve">Commission - Self-gen</t>
  </si>
  <si>
    <t xml:space="preserve">Accounts</t>
  </si>
  <si>
    <t xml:space="preserve">Paid this run</t>
  </si>
  <si>
    <t xml:space="preserve">Northern California - Sales Consultant</t>
  </si>
  <si>
    <t xml:space="preserve">Change order - Closer commission</t>
  </si>
  <si>
    <t xml:space="preserve">Commission - Closer</t>
  </si>
  <si>
    <t xml:space="preserve">Southern Utah - Sales Consultant</t>
  </si>
  <si>
    <t xml:space="preserve">Eastern Idaho - Sales Consultant</t>
  </si>
  <si>
    <t xml:space="preserve">Change order - Self-gen</t>
  </si>
  <si>
    <t xml:space="preserve">Held back - not paid</t>
  </si>
  <si>
    <t xml:space="preserve">Summer bonus - Setter, +2%</t>
  </si>
  <si>
    <t xml:space="preserve">Commission - Setter</t>
  </si>
  <si>
    <t xml:space="preserve">Change order - Summer weekly bonus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</si>
</sst>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[RED]&quot;-$&quot;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C3E50"/>
        <bgColor rgb="FF1F3A5F"/>
      </patternFill>
    </fill>
    <fill>
      <patternFill patternType="solid">
        <fgColor rgb="FFD9F2D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C3E5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4" min="3" style="0" width="18"/>
    <col collapsed="false" customWidth="true" hidden="false" outlineLevel="0" max="6" min="5" style="0" width="16"/>
    <col collapsed="false" customWidth="true" hidden="false" outlineLevel="0" max="11" min="7" style="0" width="14"/>
    <col collapsed="false" customWidth="true" hidden="false" outlineLevel="0" max="12" min="12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14</v>
      </c>
      <c r="B5" s="4" t="s">
        <v>15</v>
      </c>
      <c r="C5" s="4" t="s">
        <v>16</v>
      </c>
      <c r="D5" s="4" t="s">
        <v>17</v>
      </c>
      <c r="E5" s="5" t="n">
        <v>2196.3</v>
      </c>
      <c r="F5" s="5" t="n">
        <v>3953.34</v>
      </c>
      <c r="G5" s="5" t="n">
        <f aca="false">E5+F5</f>
        <v>6149.64</v>
      </c>
      <c r="H5" s="5" t="n">
        <f aca="false">SUMIFS(Accounts!$I:$I,Accounts!$A:$A,$B5,Accounts!$B:$B,"Summer bonus")</f>
        <v>3100.16</v>
      </c>
      <c r="I5" s="5" t="n">
        <f aca="false">SUMIFS(Accounts!$I:$I,Accounts!$A:$A,$B5,Accounts!$B:$B,"Change order")</f>
        <v>-481.3</v>
      </c>
      <c r="J5" s="5" t="n">
        <f aca="false">SUMIFS(Adjustments!$D:$D,Adjustments!$A:$A,$B5)</f>
        <v>0</v>
      </c>
      <c r="K5" s="5" t="n">
        <f aca="false">G5+H5+I5+J5</f>
        <v>8768.5</v>
      </c>
      <c r="L5" s="5" t="n">
        <f aca="false">SUMIFS(Withheld!$J:$J,Withheld!$A:$A,$B5)</f>
        <v>0</v>
      </c>
    </row>
    <row r="6" customFormat="false" ht="15" hidden="false" customHeight="false" outlineLevel="0" collapsed="false">
      <c r="A6" s="4" t="s">
        <v>14</v>
      </c>
      <c r="B6" s="4" t="s">
        <v>18</v>
      </c>
      <c r="C6" s="4" t="s">
        <v>19</v>
      </c>
      <c r="D6" s="4" t="s">
        <v>17</v>
      </c>
      <c r="E6" s="5" t="n">
        <v>0</v>
      </c>
      <c r="F6" s="5" t="n">
        <v>4049.1</v>
      </c>
      <c r="G6" s="5" t="n">
        <f aca="false">E6+F6</f>
        <v>4049.1</v>
      </c>
      <c r="H6" s="5" t="n">
        <f aca="false">SUMIFS(Accounts!$I:$I,Accounts!$A:$A,$B6,Accounts!$B:$B,"Summer bonus")</f>
        <v>0</v>
      </c>
      <c r="I6" s="5" t="n">
        <f aca="false">SUMIFS(Accounts!$I:$I,Accounts!$A:$A,$B6,Accounts!$B:$B,"Change order")</f>
        <v>-1976.76</v>
      </c>
      <c r="J6" s="5" t="n">
        <f aca="false">SUMIFS(Adjustments!$D:$D,Adjustments!$A:$A,$B6)</f>
        <v>0</v>
      </c>
      <c r="K6" s="5" t="n">
        <f aca="false">G6+H6+I6+J6</f>
        <v>2072.34</v>
      </c>
      <c r="L6" s="5" t="n">
        <f aca="false">SUMIFS(Withheld!$J:$J,Withheld!$A:$A,$B6)</f>
        <v>0</v>
      </c>
    </row>
    <row r="7" customFormat="false" ht="15" hidden="false" customHeight="false" outlineLevel="0" collapsed="false">
      <c r="A7" s="4" t="s">
        <v>14</v>
      </c>
      <c r="B7" s="4" t="s">
        <v>20</v>
      </c>
      <c r="C7" s="4" t="s">
        <v>21</v>
      </c>
      <c r="D7" s="4" t="s">
        <v>17</v>
      </c>
      <c r="E7" s="5" t="n">
        <v>0</v>
      </c>
      <c r="F7" s="5" t="n">
        <v>4868.37</v>
      </c>
      <c r="G7" s="5" t="n">
        <f aca="false">E7+F7</f>
        <v>4868.37</v>
      </c>
      <c r="H7" s="5" t="n">
        <f aca="false">SUMIFS(Accounts!$I:$I,Accounts!$A:$A,$B7,Accounts!$B:$B,"Summer bonus")</f>
        <v>0</v>
      </c>
      <c r="I7" s="5" t="n">
        <f aca="false">SUMIFS(Accounts!$I:$I,Accounts!$A:$A,$B7,Accounts!$B:$B,"Change order")</f>
        <v>-1207.98</v>
      </c>
      <c r="J7" s="5" t="n">
        <f aca="false">SUMIFS(Adjustments!$D:$D,Adjustments!$A:$A,$B7)</f>
        <v>0</v>
      </c>
      <c r="K7" s="5" t="n">
        <f aca="false">G7+H7+I7+J7</f>
        <v>3660.39</v>
      </c>
      <c r="L7" s="5" t="n">
        <f aca="false">SUMIFS(Withheld!$J:$J,Withheld!$A:$A,$B7)</f>
        <v>0</v>
      </c>
    </row>
    <row r="8" customFormat="false" ht="15" hidden="false" customHeight="false" outlineLevel="0" collapsed="false">
      <c r="A8" s="4" t="s">
        <v>14</v>
      </c>
      <c r="B8" s="4" t="s">
        <v>22</v>
      </c>
      <c r="C8" s="4" t="s">
        <v>23</v>
      </c>
      <c r="D8" s="4" t="s">
        <v>17</v>
      </c>
      <c r="E8" s="5" t="n">
        <v>2876.55</v>
      </c>
      <c r="F8" s="5" t="n">
        <v>5177.79</v>
      </c>
      <c r="G8" s="5" t="n">
        <f aca="false">E8+F8</f>
        <v>8054.34</v>
      </c>
      <c r="H8" s="5" t="n">
        <f aca="false">SUMIFS(Accounts!$I:$I,Accounts!$A:$A,$B8,Accounts!$B:$B,"Summer bonus")</f>
        <v>0</v>
      </c>
      <c r="I8" s="5" t="n">
        <f aca="false">SUMIFS(Accounts!$I:$I,Accounts!$A:$A,$B8,Accounts!$B:$B,"Change order")</f>
        <v>-359.94</v>
      </c>
      <c r="J8" s="5" t="n">
        <f aca="false">SUMIFS(Adjustments!$D:$D,Adjustments!$A:$A,$B8)</f>
        <v>0</v>
      </c>
      <c r="K8" s="5" t="n">
        <f aca="false">G8+H8+I8+J8</f>
        <v>7694.4</v>
      </c>
      <c r="L8" s="5" t="n">
        <f aca="false">SUMIFS(Withheld!$J:$J,Withheld!$A:$A,$B8)</f>
        <v>3661.02</v>
      </c>
    </row>
    <row r="9" customFormat="false" ht="15" hidden="false" customHeight="false" outlineLevel="0" collapsed="false">
      <c r="A9" s="4" t="s">
        <v>14</v>
      </c>
      <c r="B9" s="4" t="s">
        <v>24</v>
      </c>
      <c r="C9" s="4" t="s">
        <v>19</v>
      </c>
      <c r="D9" s="4" t="s">
        <v>17</v>
      </c>
      <c r="E9" s="5" t="n">
        <v>2150.15</v>
      </c>
      <c r="F9" s="5" t="n">
        <v>3870.27</v>
      </c>
      <c r="G9" s="5" t="n">
        <f aca="false">E9+F9</f>
        <v>6020.42</v>
      </c>
      <c r="H9" s="5" t="n">
        <f aca="false">SUMIFS(Accounts!$I:$I,Accounts!$A:$A,$B9,Accounts!$B:$B,"Summer bonus")</f>
        <v>1319.88</v>
      </c>
      <c r="I9" s="5" t="n">
        <f aca="false">SUMIFS(Accounts!$I:$I,Accounts!$A:$A,$B9,Accounts!$B:$B,"Change order")</f>
        <v>0</v>
      </c>
      <c r="J9" s="5" t="n">
        <f aca="false">SUMIFS(Adjustments!$D:$D,Adjustments!$A:$A,$B9)</f>
        <v>0</v>
      </c>
      <c r="K9" s="5" t="n">
        <f aca="false">G9+H9+I9+J9</f>
        <v>7340.3</v>
      </c>
      <c r="L9" s="5" t="n">
        <f aca="false">SUMIFS(Withheld!$J:$J,Withheld!$A:$A,$B9)</f>
        <v>0</v>
      </c>
    </row>
    <row r="10" customFormat="false" ht="15" hidden="false" customHeight="false" outlineLevel="0" collapsed="false">
      <c r="A10" s="4" t="s">
        <v>14</v>
      </c>
      <c r="B10" s="4" t="s">
        <v>25</v>
      </c>
      <c r="C10" s="4" t="s">
        <v>23</v>
      </c>
      <c r="D10" s="4" t="s">
        <v>17</v>
      </c>
      <c r="E10" s="5" t="n">
        <v>0</v>
      </c>
      <c r="F10" s="5" t="n">
        <v>3381.66</v>
      </c>
      <c r="G10" s="5" t="n">
        <f aca="false">E10+F10</f>
        <v>3381.66</v>
      </c>
      <c r="H10" s="5" t="n">
        <f aca="false">SUMIFS(Accounts!$I:$I,Accounts!$A:$A,$B10,Accounts!$B:$B,"Summer bonus")</f>
        <v>2521.58</v>
      </c>
      <c r="I10" s="5" t="n">
        <f aca="false">SUMIFS(Accounts!$I:$I,Accounts!$A:$A,$B10,Accounts!$B:$B,"Change order")</f>
        <v>0</v>
      </c>
      <c r="J10" s="5" t="n">
        <f aca="false">SUMIFS(Adjustments!$D:$D,Adjustments!$A:$A,$B10)</f>
        <v>0</v>
      </c>
      <c r="K10" s="5" t="n">
        <f aca="false">G10+H10+I10+J10</f>
        <v>5903.24</v>
      </c>
      <c r="L10" s="5" t="n">
        <f aca="false">SUMIFS(Withheld!$J:$J,Withheld!$A:$A,$B10)</f>
        <v>0</v>
      </c>
    </row>
    <row r="11" customFormat="false" ht="15" hidden="false" customHeight="false" outlineLevel="0" collapsed="false">
      <c r="A11" s="4" t="s">
        <v>14</v>
      </c>
      <c r="B11" s="4" t="s">
        <v>26</v>
      </c>
      <c r="C11" s="4" t="s">
        <v>23</v>
      </c>
      <c r="D11" s="4" t="s">
        <v>17</v>
      </c>
      <c r="E11" s="5" t="n">
        <v>759.45</v>
      </c>
      <c r="F11" s="5" t="n">
        <v>0</v>
      </c>
      <c r="G11" s="5" t="n">
        <f aca="false">E11+F11</f>
        <v>759.45</v>
      </c>
      <c r="H11" s="5" t="n">
        <f aca="false">SUMIFS(Accounts!$I:$I,Accounts!$A:$A,$B11,Accounts!$B:$B,"Summer bonus")</f>
        <v>3969.06</v>
      </c>
      <c r="I11" s="5" t="n">
        <f aca="false">SUMIFS(Accounts!$I:$I,Accounts!$A:$A,$B11,Accounts!$B:$B,"Change order")</f>
        <v>0</v>
      </c>
      <c r="J11" s="5" t="n">
        <f aca="false">SUMIFS(Adjustments!$D:$D,Adjustments!$A:$A,$B11)</f>
        <v>0</v>
      </c>
      <c r="K11" s="5" t="n">
        <f aca="false">G11+H11+I11+J11</f>
        <v>4728.51</v>
      </c>
      <c r="L11" s="5" t="n">
        <f aca="false">SUMIFS(Withheld!$J:$J,Withheld!$A:$A,$B11)</f>
        <v>0</v>
      </c>
    </row>
    <row r="12" customFormat="false" ht="15" hidden="false" customHeight="false" outlineLevel="0" collapsed="false">
      <c r="A12" s="4" t="s">
        <v>14</v>
      </c>
      <c r="B12" s="4" t="s">
        <v>27</v>
      </c>
      <c r="C12" s="4" t="s">
        <v>16</v>
      </c>
      <c r="D12" s="4" t="s">
        <v>17</v>
      </c>
      <c r="E12" s="5" t="n">
        <v>1072.8</v>
      </c>
      <c r="F12" s="5" t="n">
        <v>0</v>
      </c>
      <c r="G12" s="5" t="n">
        <f aca="false">E12+F12</f>
        <v>1072.8</v>
      </c>
      <c r="H12" s="5" t="n">
        <f aca="false">SUMIFS(Accounts!$I:$I,Accounts!$A:$A,$B12,Accounts!$B:$B,"Summer bonus")</f>
        <v>3320</v>
      </c>
      <c r="I12" s="5" t="n">
        <f aca="false">SUMIFS(Accounts!$I:$I,Accounts!$A:$A,$B12,Accounts!$B:$B,"Change order")</f>
        <v>0</v>
      </c>
      <c r="J12" s="5" t="n">
        <f aca="false">SUMIFS(Adjustments!$D:$D,Adjustments!$A:$A,$B12)</f>
        <v>0</v>
      </c>
      <c r="K12" s="5" t="n">
        <f aca="false">G12+H12+I12+J12</f>
        <v>4392.8</v>
      </c>
      <c r="L12" s="5" t="n">
        <f aca="false">SUMIFS(Withheld!$J:$J,Withheld!$A:$A,$B12)</f>
        <v>0</v>
      </c>
    </row>
    <row r="13" customFormat="false" ht="15" hidden="false" customHeight="false" outlineLevel="0" collapsed="false">
      <c r="A13" s="4" t="s">
        <v>14</v>
      </c>
      <c r="B13" s="4" t="s">
        <v>28</v>
      </c>
      <c r="C13" s="4" t="s">
        <v>16</v>
      </c>
      <c r="D13" s="4" t="s">
        <v>17</v>
      </c>
      <c r="E13" s="5" t="n">
        <v>0</v>
      </c>
      <c r="F13" s="5" t="n">
        <v>1931.04</v>
      </c>
      <c r="G13" s="5" t="n">
        <f aca="false">E13+F13</f>
        <v>1931.04</v>
      </c>
      <c r="H13" s="5" t="n">
        <f aca="false">SUMIFS(Accounts!$I:$I,Accounts!$A:$A,$B13,Accounts!$B:$B,"Summer bonus")</f>
        <v>0</v>
      </c>
      <c r="I13" s="5" t="n">
        <f aca="false">SUMIFS(Accounts!$I:$I,Accounts!$A:$A,$B13,Accounts!$B:$B,"Change order")</f>
        <v>0</v>
      </c>
      <c r="J13" s="5" t="n">
        <f aca="false">SUMIFS(Adjustments!$D:$D,Adjustments!$A:$A,$B13)</f>
        <v>0</v>
      </c>
      <c r="K13" s="5" t="n">
        <f aca="false">G13+H13+I13+J13</f>
        <v>1931.04</v>
      </c>
      <c r="L13" s="5" t="n">
        <f aca="false">SUMIFS(Withheld!$J:$J,Withheld!$A:$A,$B13)</f>
        <v>0</v>
      </c>
    </row>
    <row r="14" customFormat="false" ht="15" hidden="false" customHeight="false" outlineLevel="0" collapsed="false">
      <c r="A14" s="4" t="s">
        <v>14</v>
      </c>
      <c r="B14" s="4" t="s">
        <v>29</v>
      </c>
      <c r="C14" s="4" t="s">
        <v>21</v>
      </c>
      <c r="D14" s="4" t="s">
        <v>17</v>
      </c>
      <c r="E14" s="5" t="n">
        <v>1169.75</v>
      </c>
      <c r="F14" s="5" t="n">
        <v>0</v>
      </c>
      <c r="G14" s="5" t="n">
        <f aca="false">E14+F14</f>
        <v>1169.75</v>
      </c>
      <c r="H14" s="5" t="n">
        <f aca="false">SUMIFS(Accounts!$I:$I,Accounts!$A:$A,$B14,Accounts!$B:$B,"Summer bonus")</f>
        <v>2151.72</v>
      </c>
      <c r="I14" s="5" t="n">
        <f aca="false">SUMIFS(Accounts!$I:$I,Accounts!$A:$A,$B14,Accounts!$B:$B,"Change order")</f>
        <v>0</v>
      </c>
      <c r="J14" s="5" t="n">
        <f aca="false">SUMIFS(Adjustments!$D:$D,Adjustments!$A:$A,$B14)</f>
        <v>0</v>
      </c>
      <c r="K14" s="5" t="n">
        <f aca="false">G14+H14+I14+J14</f>
        <v>3321.47</v>
      </c>
      <c r="L14" s="5" t="n">
        <f aca="false">SUMIFS(Withheld!$J:$J,Withheld!$A:$A,$B14)</f>
        <v>0</v>
      </c>
    </row>
    <row r="15" customFormat="false" ht="15" hidden="false" customHeight="false" outlineLevel="0" collapsed="false">
      <c r="A15" s="4" t="s">
        <v>14</v>
      </c>
      <c r="B15" s="4" t="s">
        <v>30</v>
      </c>
      <c r="C15" s="4" t="s">
        <v>21</v>
      </c>
      <c r="D15" s="4" t="s">
        <v>17</v>
      </c>
      <c r="E15" s="5" t="n">
        <v>0</v>
      </c>
      <c r="F15" s="5" t="n">
        <v>0</v>
      </c>
      <c r="G15" s="5" t="n">
        <f aca="false">E15+F15</f>
        <v>0</v>
      </c>
      <c r="H15" s="5" t="n">
        <f aca="false">SUMIFS(Accounts!$I:$I,Accounts!$A:$A,$B15,Accounts!$B:$B,"Summer bonus")</f>
        <v>2662.12</v>
      </c>
      <c r="I15" s="5" t="n">
        <f aca="false">SUMIFS(Accounts!$I:$I,Accounts!$A:$A,$B15,Accounts!$B:$B,"Change order")</f>
        <v>0</v>
      </c>
      <c r="J15" s="5" t="n">
        <f aca="false">SUMIFS(Adjustments!$D:$D,Adjustments!$A:$A,$B15)</f>
        <v>0</v>
      </c>
      <c r="K15" s="5" t="n">
        <f aca="false">G15+H15+I15+J15</f>
        <v>2662.12</v>
      </c>
      <c r="L15" s="5" t="n">
        <f aca="false">SUMIFS(Withheld!$J:$J,Withheld!$A:$A,$B15)</f>
        <v>0</v>
      </c>
    </row>
    <row r="16" customFormat="false" ht="15" hidden="false" customHeight="false" outlineLevel="0" collapsed="false">
      <c r="A16" s="4" t="s">
        <v>14</v>
      </c>
      <c r="B16" s="4" t="s">
        <v>31</v>
      </c>
      <c r="C16" s="4" t="s">
        <v>16</v>
      </c>
      <c r="D16" s="4" t="s">
        <v>17</v>
      </c>
      <c r="E16" s="5" t="n">
        <v>176.7</v>
      </c>
      <c r="F16" s="5" t="n">
        <v>0</v>
      </c>
      <c r="G16" s="5" t="n">
        <f aca="false">E16+F16</f>
        <v>176.7</v>
      </c>
      <c r="H16" s="5" t="n">
        <f aca="false">SUMIFS(Accounts!$I:$I,Accounts!$A:$A,$B16,Accounts!$B:$B,"Summer bonus")</f>
        <v>2232.12</v>
      </c>
      <c r="I16" s="5" t="n">
        <f aca="false">SUMIFS(Accounts!$I:$I,Accounts!$A:$A,$B16,Accounts!$B:$B,"Change order")</f>
        <v>0</v>
      </c>
      <c r="J16" s="5" t="n">
        <f aca="false">SUMIFS(Adjustments!$D:$D,Adjustments!$A:$A,$B16)</f>
        <v>0</v>
      </c>
      <c r="K16" s="5" t="n">
        <f aca="false">G16+H16+I16+J16</f>
        <v>2408.82</v>
      </c>
      <c r="L16" s="5" t="n">
        <f aca="false">SUMIFS(Withheld!$J:$J,Withheld!$A:$A,$B16)</f>
        <v>0</v>
      </c>
    </row>
    <row r="17" customFormat="false" ht="15" hidden="false" customHeight="false" outlineLevel="0" collapsed="false">
      <c r="A17" s="4" t="s">
        <v>14</v>
      </c>
      <c r="B17" s="4" t="s">
        <v>32</v>
      </c>
      <c r="C17" s="4" t="s">
        <v>21</v>
      </c>
      <c r="D17" s="4" t="s">
        <v>17</v>
      </c>
      <c r="E17" s="5" t="n">
        <v>1630.35</v>
      </c>
      <c r="F17" s="5" t="n">
        <v>0</v>
      </c>
      <c r="G17" s="5" t="n">
        <f aca="false">E17+F17</f>
        <v>1630.35</v>
      </c>
      <c r="H17" s="5" t="n">
        <f aca="false">SUMIFS(Accounts!$I:$I,Accounts!$A:$A,$B17,Accounts!$B:$B,"Summer bonus")</f>
        <v>363.8</v>
      </c>
      <c r="I17" s="5" t="n">
        <f aca="false">SUMIFS(Accounts!$I:$I,Accounts!$A:$A,$B17,Accounts!$B:$B,"Change order")</f>
        <v>-671.1</v>
      </c>
      <c r="J17" s="5" t="n">
        <f aca="false">SUMIFS(Adjustments!$D:$D,Adjustments!$A:$A,$B17)</f>
        <v>0</v>
      </c>
      <c r="K17" s="5" t="n">
        <f aca="false">G17+H17+I17+J17</f>
        <v>1323.05</v>
      </c>
      <c r="L17" s="5" t="n">
        <f aca="false">SUMIFS(Withheld!$J:$J,Withheld!$A:$A,$B17)</f>
        <v>0</v>
      </c>
    </row>
    <row r="18" customFormat="false" ht="15" hidden="false" customHeight="false" outlineLevel="0" collapsed="false">
      <c r="A18" s="4" t="s">
        <v>14</v>
      </c>
      <c r="B18" s="4" t="s">
        <v>33</v>
      </c>
      <c r="C18" s="4" t="s">
        <v>21</v>
      </c>
      <c r="D18" s="4" t="s">
        <v>17</v>
      </c>
      <c r="E18" s="5" t="n">
        <v>2154.05</v>
      </c>
      <c r="F18" s="5" t="n">
        <v>0</v>
      </c>
      <c r="G18" s="5" t="n">
        <f aca="false">E18+F18</f>
        <v>2154.05</v>
      </c>
      <c r="H18" s="5" t="n">
        <f aca="false">SUMIFS(Accounts!$I:$I,Accounts!$A:$A,$B18,Accounts!$B:$B,"Summer bonus")</f>
        <v>0</v>
      </c>
      <c r="I18" s="5" t="n">
        <f aca="false">SUMIFS(Accounts!$I:$I,Accounts!$A:$A,$B18,Accounts!$B:$B,"Change order")</f>
        <v>0</v>
      </c>
      <c r="J18" s="5" t="n">
        <f aca="false">SUMIFS(Adjustments!$D:$D,Adjustments!$A:$A,$B18)</f>
        <v>0</v>
      </c>
      <c r="K18" s="5" t="n">
        <f aca="false">G18+H18+I18+J18</f>
        <v>2154.05</v>
      </c>
      <c r="L18" s="5" t="n">
        <f aca="false">SUMIFS(Withheld!$J:$J,Withheld!$A:$A,$B18)</f>
        <v>0</v>
      </c>
    </row>
    <row r="19" customFormat="false" ht="15" hidden="false" customHeight="false" outlineLevel="0" collapsed="false">
      <c r="A19" s="4" t="s">
        <v>14</v>
      </c>
      <c r="B19" s="4" t="s">
        <v>34</v>
      </c>
      <c r="C19" s="4" t="s">
        <v>23</v>
      </c>
      <c r="D19" s="4" t="s">
        <v>17</v>
      </c>
      <c r="E19" s="5" t="n">
        <v>1231.95</v>
      </c>
      <c r="F19" s="5" t="n">
        <v>0</v>
      </c>
      <c r="G19" s="5" t="n">
        <f aca="false">E19+F19</f>
        <v>1231.95</v>
      </c>
      <c r="H19" s="5" t="n">
        <f aca="false">SUMIFS(Accounts!$I:$I,Accounts!$A:$A,$B19,Accounts!$B:$B,"Summer bonus")</f>
        <v>593.9</v>
      </c>
      <c r="I19" s="5" t="n">
        <f aca="false">SUMIFS(Accounts!$I:$I,Accounts!$A:$A,$B19,Accounts!$B:$B,"Change order")</f>
        <v>0</v>
      </c>
      <c r="J19" s="5" t="n">
        <f aca="false">SUMIFS(Adjustments!$D:$D,Adjustments!$A:$A,$B19)</f>
        <v>0</v>
      </c>
      <c r="K19" s="5" t="n">
        <f aca="false">G19+H19+I19+J19</f>
        <v>1825.85</v>
      </c>
      <c r="L19" s="5" t="n">
        <f aca="false">SUMIFS(Withheld!$J:$J,Withheld!$A:$A,$B19)</f>
        <v>0</v>
      </c>
    </row>
    <row r="20" customFormat="false" ht="15" hidden="false" customHeight="false" outlineLevel="0" collapsed="false">
      <c r="A20" s="4" t="s">
        <v>14</v>
      </c>
      <c r="B20" s="4" t="s">
        <v>35</v>
      </c>
      <c r="C20" s="4" t="s">
        <v>23</v>
      </c>
      <c r="D20" s="4" t="s">
        <v>17</v>
      </c>
      <c r="E20" s="5" t="n">
        <v>0</v>
      </c>
      <c r="F20" s="5" t="n">
        <v>1367.01</v>
      </c>
      <c r="G20" s="5" t="n">
        <f aca="false">E20+F20</f>
        <v>1367.01</v>
      </c>
      <c r="H20" s="5" t="n">
        <f aca="false">SUMIFS(Accounts!$I:$I,Accounts!$A:$A,$B20,Accounts!$B:$B,"Summer bonus")</f>
        <v>0</v>
      </c>
      <c r="I20" s="5" t="n">
        <f aca="false">SUMIFS(Accounts!$I:$I,Accounts!$A:$A,$B20,Accounts!$B:$B,"Change order")</f>
        <v>0</v>
      </c>
      <c r="J20" s="5" t="n">
        <f aca="false">SUMIFS(Adjustments!$D:$D,Adjustments!$A:$A,$B20)</f>
        <v>0</v>
      </c>
      <c r="K20" s="5" t="n">
        <f aca="false">G20+H20+I20+J20</f>
        <v>1367.01</v>
      </c>
      <c r="L20" s="5" t="n">
        <f aca="false">SUMIFS(Withheld!$J:$J,Withheld!$A:$A,$B20)</f>
        <v>1323.81</v>
      </c>
    </row>
    <row r="21" customFormat="false" ht="15" hidden="false" customHeight="false" outlineLevel="0" collapsed="false">
      <c r="A21" s="4" t="s">
        <v>14</v>
      </c>
      <c r="B21" s="4" t="s">
        <v>36</v>
      </c>
      <c r="C21" s="4" t="s">
        <v>16</v>
      </c>
      <c r="D21" s="4" t="s">
        <v>17</v>
      </c>
      <c r="E21" s="5" t="n">
        <v>0</v>
      </c>
      <c r="F21" s="5" t="n">
        <v>0</v>
      </c>
      <c r="G21" s="5" t="n">
        <f aca="false">E21+F21</f>
        <v>0</v>
      </c>
      <c r="H21" s="5" t="n">
        <f aca="false">SUMIFS(Accounts!$I:$I,Accounts!$A:$A,$B21,Accounts!$B:$B,"Summer bonus")</f>
        <v>1303.14</v>
      </c>
      <c r="I21" s="5" t="n">
        <f aca="false">SUMIFS(Accounts!$I:$I,Accounts!$A:$A,$B21,Accounts!$B:$B,"Change order")</f>
        <v>0</v>
      </c>
      <c r="J21" s="5" t="n">
        <f aca="false">SUMIFS(Adjustments!$D:$D,Adjustments!$A:$A,$B21)</f>
        <v>0</v>
      </c>
      <c r="K21" s="5" t="n">
        <f aca="false">G21+H21+I21+J21</f>
        <v>1303.14</v>
      </c>
      <c r="L21" s="5" t="n">
        <f aca="false">SUMIFS(Withheld!$J:$J,Withheld!$A:$A,$B21)</f>
        <v>735.45</v>
      </c>
    </row>
    <row r="22" customFormat="false" ht="15" hidden="false" customHeight="false" outlineLevel="0" collapsed="false">
      <c r="A22" s="4" t="s">
        <v>14</v>
      </c>
      <c r="B22" s="4" t="s">
        <v>37</v>
      </c>
      <c r="C22" s="4" t="s">
        <v>21</v>
      </c>
      <c r="D22" s="4" t="s">
        <v>17</v>
      </c>
      <c r="E22" s="5" t="n">
        <v>0</v>
      </c>
      <c r="F22" s="5" t="n">
        <v>0</v>
      </c>
      <c r="G22" s="5" t="n">
        <f aca="false">E22+F22</f>
        <v>0</v>
      </c>
      <c r="H22" s="5" t="n">
        <f aca="false">SUMIFS(Accounts!$I:$I,Accounts!$A:$A,$B22,Accounts!$B:$B,"Summer bonus")</f>
        <v>499.92</v>
      </c>
      <c r="I22" s="5" t="n">
        <f aca="false">SUMIFS(Accounts!$I:$I,Accounts!$A:$A,$B22,Accounts!$B:$B,"Change order")</f>
        <v>0</v>
      </c>
      <c r="J22" s="5" t="n">
        <f aca="false">SUMIFS(Adjustments!$D:$D,Adjustments!$A:$A,$B22)</f>
        <v>0</v>
      </c>
      <c r="K22" s="5" t="n">
        <f aca="false">G22+H22+I22+J22</f>
        <v>499.92</v>
      </c>
      <c r="L22" s="5" t="n">
        <f aca="false">SUMIFS(Withheld!$J:$J,Withheld!$A:$A,$B22)</f>
        <v>0</v>
      </c>
    </row>
    <row r="23" customFormat="false" ht="15" hidden="false" customHeight="false" outlineLevel="0" collapsed="false">
      <c r="A23" s="4" t="s">
        <v>14</v>
      </c>
      <c r="B23" s="4" t="s">
        <v>38</v>
      </c>
      <c r="C23" s="4" t="s">
        <v>21</v>
      </c>
      <c r="D23" s="4" t="s">
        <v>17</v>
      </c>
      <c r="E23" s="5" t="n">
        <v>0</v>
      </c>
      <c r="F23" s="5" t="n">
        <v>0</v>
      </c>
      <c r="G23" s="5" t="n">
        <f aca="false">E23+F23</f>
        <v>0</v>
      </c>
      <c r="H23" s="5" t="n">
        <f aca="false">SUMIFS(Accounts!$I:$I,Accounts!$A:$A,$B23,Accounts!$B:$B,"Summer bonus")</f>
        <v>1142.1</v>
      </c>
      <c r="I23" s="5" t="n">
        <f aca="false">SUMIFS(Accounts!$I:$I,Accounts!$A:$A,$B23,Accounts!$B:$B,"Change order")</f>
        <v>0</v>
      </c>
      <c r="J23" s="5" t="n">
        <f aca="false">SUMIFS(Adjustments!$D:$D,Adjustments!$A:$A,$B23)</f>
        <v>0</v>
      </c>
      <c r="K23" s="5" t="n">
        <f aca="false">G23+H23+I23+J23</f>
        <v>1142.1</v>
      </c>
      <c r="L23" s="5" t="n">
        <f aca="false">SUMIFS(Withheld!$J:$J,Withheld!$A:$A,$B23)</f>
        <v>0</v>
      </c>
    </row>
    <row r="24" customFormat="false" ht="15" hidden="false" customHeight="false" outlineLevel="0" collapsed="false">
      <c r="A24" s="4" t="s">
        <v>14</v>
      </c>
      <c r="B24" s="4" t="s">
        <v>39</v>
      </c>
      <c r="C24" s="4" t="s">
        <v>16</v>
      </c>
      <c r="D24" s="4" t="s">
        <v>17</v>
      </c>
      <c r="E24" s="5" t="n">
        <v>0</v>
      </c>
      <c r="F24" s="5" t="n">
        <v>0</v>
      </c>
      <c r="G24" s="5" t="n">
        <f aca="false">E24+F24</f>
        <v>0</v>
      </c>
      <c r="H24" s="5" t="n">
        <f aca="false">SUMIFS(Accounts!$I:$I,Accounts!$A:$A,$B24,Accounts!$B:$B,"Summer bonus")</f>
        <v>1845.88</v>
      </c>
      <c r="I24" s="5" t="n">
        <f aca="false">SUMIFS(Accounts!$I:$I,Accounts!$A:$A,$B24,Accounts!$B:$B,"Change order")</f>
        <v>-866.34</v>
      </c>
      <c r="J24" s="5" t="n">
        <f aca="false">SUMIFS(Adjustments!$D:$D,Adjustments!$A:$A,$B24)</f>
        <v>0</v>
      </c>
      <c r="K24" s="5" t="n">
        <f aca="false">G24+H24+I24+J24</f>
        <v>979.54</v>
      </c>
      <c r="L24" s="5" t="n">
        <f aca="false">SUMIFS(Withheld!$J:$J,Withheld!$A:$A,$B24)</f>
        <v>0</v>
      </c>
    </row>
    <row r="25" customFormat="false" ht="15" hidden="false" customHeight="false" outlineLevel="0" collapsed="false">
      <c r="A25" s="4" t="s">
        <v>14</v>
      </c>
      <c r="B25" s="4" t="s">
        <v>40</v>
      </c>
      <c r="C25" s="4" t="s">
        <v>21</v>
      </c>
      <c r="D25" s="4" t="s">
        <v>17</v>
      </c>
      <c r="E25" s="5" t="n">
        <v>0</v>
      </c>
      <c r="F25" s="5" t="n">
        <v>0</v>
      </c>
      <c r="G25" s="5" t="n">
        <f aca="false">E25+F25</f>
        <v>0</v>
      </c>
      <c r="H25" s="5" t="n">
        <f aca="false">SUMIFS(Accounts!$I:$I,Accounts!$A:$A,$B25,Accounts!$B:$B,"Summer bonus")</f>
        <v>900.78</v>
      </c>
      <c r="I25" s="5" t="n">
        <f aca="false">SUMIFS(Accounts!$I:$I,Accounts!$A:$A,$B25,Accounts!$B:$B,"Change order")</f>
        <v>0</v>
      </c>
      <c r="J25" s="5" t="n">
        <f aca="false">SUMIFS(Adjustments!$D:$D,Adjustments!$A:$A,$B25)</f>
        <v>0</v>
      </c>
      <c r="K25" s="5" t="n">
        <f aca="false">G25+H25+I25+J25</f>
        <v>900.78</v>
      </c>
      <c r="L25" s="5" t="n">
        <f aca="false">SUMIFS(Withheld!$J:$J,Withheld!$A:$A,$B25)</f>
        <v>0</v>
      </c>
    </row>
    <row r="26" customFormat="false" ht="15" hidden="false" customHeight="false" outlineLevel="0" collapsed="false">
      <c r="A26" s="4" t="s">
        <v>14</v>
      </c>
      <c r="B26" s="4" t="s">
        <v>41</v>
      </c>
      <c r="C26" s="4" t="s">
        <v>23</v>
      </c>
      <c r="D26" s="4" t="s">
        <v>17</v>
      </c>
      <c r="E26" s="5" t="n">
        <v>646.75</v>
      </c>
      <c r="F26" s="5" t="n">
        <v>0</v>
      </c>
      <c r="G26" s="5" t="n">
        <f aca="false">E26+F26</f>
        <v>646.75</v>
      </c>
      <c r="H26" s="5" t="n">
        <f aca="false">SUMIFS(Accounts!$I:$I,Accounts!$A:$A,$B26,Accounts!$B:$B,"Summer bonus")</f>
        <v>0</v>
      </c>
      <c r="I26" s="5" t="n">
        <f aca="false">SUMIFS(Accounts!$I:$I,Accounts!$A:$A,$B26,Accounts!$B:$B,"Change order")</f>
        <v>0</v>
      </c>
      <c r="J26" s="5" t="n">
        <f aca="false">SUMIFS(Adjustments!$D:$D,Adjustments!$A:$A,$B26)</f>
        <v>0</v>
      </c>
      <c r="K26" s="5" t="n">
        <f aca="false">G26+H26+I26+J26</f>
        <v>646.75</v>
      </c>
      <c r="L26" s="5" t="n">
        <f aca="false">SUMIFS(Withheld!$J:$J,Withheld!$A:$A,$B26)</f>
        <v>0</v>
      </c>
    </row>
    <row r="27" customFormat="false" ht="15" hidden="false" customHeight="false" outlineLevel="0" collapsed="false">
      <c r="A27" s="4" t="s">
        <v>14</v>
      </c>
      <c r="B27" s="4" t="s">
        <v>42</v>
      </c>
      <c r="C27" s="4" t="s">
        <v>23</v>
      </c>
      <c r="D27" s="4" t="s">
        <v>17</v>
      </c>
      <c r="E27" s="5" t="n">
        <v>0</v>
      </c>
      <c r="F27" s="5" t="n">
        <v>0</v>
      </c>
      <c r="G27" s="5" t="n">
        <f aca="false">E27+F27</f>
        <v>0</v>
      </c>
      <c r="H27" s="5" t="n">
        <f aca="false">SUMIFS(Accounts!$I:$I,Accounts!$A:$A,$B27,Accounts!$B:$B,"Summer bonus")</f>
        <v>390.72</v>
      </c>
      <c r="I27" s="5" t="n">
        <f aca="false">SUMIFS(Accounts!$I:$I,Accounts!$A:$A,$B27,Accounts!$B:$B,"Change order")</f>
        <v>0</v>
      </c>
      <c r="J27" s="5" t="n">
        <f aca="false">SUMIFS(Adjustments!$D:$D,Adjustments!$A:$A,$B27)</f>
        <v>0</v>
      </c>
      <c r="K27" s="5" t="n">
        <f aca="false">G27+H27+I27+J27</f>
        <v>390.72</v>
      </c>
      <c r="L27" s="5" t="n">
        <f aca="false">SUMIFS(Withheld!$J:$J,Withheld!$A:$A,$B27)</f>
        <v>0</v>
      </c>
    </row>
    <row r="28" customFormat="false" ht="15" hidden="false" customHeight="false" outlineLevel="0" collapsed="false">
      <c r="A28" s="4" t="s">
        <v>14</v>
      </c>
      <c r="B28" s="4" t="s">
        <v>43</v>
      </c>
      <c r="C28" s="4" t="s">
        <v>16</v>
      </c>
      <c r="D28" s="4" t="s">
        <v>17</v>
      </c>
      <c r="E28" s="5" t="n">
        <v>0</v>
      </c>
      <c r="F28" s="5" t="n">
        <v>318.06</v>
      </c>
      <c r="G28" s="5" t="n">
        <f aca="false">E28+F28</f>
        <v>318.06</v>
      </c>
      <c r="H28" s="5" t="n">
        <f aca="false">SUMIFS(Accounts!$I:$I,Accounts!$A:$A,$B28,Accounts!$B:$B,"Summer bonus")</f>
        <v>0</v>
      </c>
      <c r="I28" s="5" t="n">
        <f aca="false">SUMIFS(Accounts!$I:$I,Accounts!$A:$A,$B28,Accounts!$B:$B,"Change order")</f>
        <v>0</v>
      </c>
      <c r="J28" s="5" t="n">
        <f aca="false">SUMIFS(Adjustments!$D:$D,Adjustments!$A:$A,$B28)</f>
        <v>0</v>
      </c>
      <c r="K28" s="5" t="n">
        <f aca="false">G28+H28+I28+J28</f>
        <v>318.06</v>
      </c>
      <c r="L28" s="5" t="n">
        <f aca="false">SUMIFS(Withheld!$J:$J,Withheld!$A:$A,$B28)</f>
        <v>0</v>
      </c>
    </row>
    <row r="29" customFormat="false" ht="15" hidden="false" customHeight="false" outlineLevel="0" collapsed="false">
      <c r="A29" s="4" t="s">
        <v>14</v>
      </c>
      <c r="B29" s="4" t="s">
        <v>44</v>
      </c>
      <c r="C29" s="4" t="s">
        <v>23</v>
      </c>
      <c r="D29" s="4" t="s">
        <v>17</v>
      </c>
      <c r="E29" s="5" t="n">
        <v>0</v>
      </c>
      <c r="F29" s="5" t="n">
        <v>0</v>
      </c>
      <c r="G29" s="5" t="n">
        <f aca="false">E29+F29</f>
        <v>0</v>
      </c>
      <c r="H29" s="5" t="n">
        <f aca="false">SUMIFS(Accounts!$I:$I,Accounts!$A:$A,$B29,Accounts!$B:$B,"Summer bonus")</f>
        <v>503.04</v>
      </c>
      <c r="I29" s="5" t="n">
        <f aca="false">SUMIFS(Accounts!$I:$I,Accounts!$A:$A,$B29,Accounts!$B:$B,"Change order")</f>
        <v>0</v>
      </c>
      <c r="J29" s="5" t="n">
        <f aca="false">SUMIFS(Adjustments!$D:$D,Adjustments!$A:$A,$B29)</f>
        <v>0</v>
      </c>
      <c r="K29" s="5" t="n">
        <f aca="false">G29+H29+I29+J29</f>
        <v>503.04</v>
      </c>
      <c r="L29" s="5" t="n">
        <f aca="false">SUMIFS(Withheld!$J:$J,Withheld!$A:$A,$B29)</f>
        <v>2033.9</v>
      </c>
    </row>
    <row r="30" customFormat="false" ht="15" hidden="false" customHeight="false" outlineLevel="0" collapsed="false">
      <c r="A30" s="4" t="s">
        <v>14</v>
      </c>
      <c r="B30" s="4" t="s">
        <v>45</v>
      </c>
      <c r="C30" s="4" t="s">
        <v>16</v>
      </c>
      <c r="D30" s="4" t="s">
        <v>17</v>
      </c>
      <c r="E30" s="5" t="n">
        <v>0</v>
      </c>
      <c r="F30" s="5" t="n">
        <v>0</v>
      </c>
      <c r="G30" s="5" t="n">
        <f aca="false">E30+F30</f>
        <v>0</v>
      </c>
      <c r="H30" s="5" t="n">
        <f aca="false">SUMIFS(Accounts!$I:$I,Accounts!$A:$A,$B30,Accounts!$B:$B,"Summer bonus")</f>
        <v>0</v>
      </c>
      <c r="I30" s="5" t="n">
        <f aca="false">SUMIFS(Accounts!$I:$I,Accounts!$A:$A,$B30,Accounts!$B:$B,"Change order")</f>
        <v>0</v>
      </c>
      <c r="J30" s="5" t="n">
        <f aca="false">SUMIFS(Adjustments!$D:$D,Adjustments!$A:$A,$B30)</f>
        <v>-412.5</v>
      </c>
      <c r="K30" s="5" t="n">
        <f aca="false">G30+H30+I30+J30</f>
        <v>-412.5</v>
      </c>
      <c r="L30" s="5" t="n">
        <f aca="false">SUMIFS(Withheld!$J:$J,Withheld!$A:$A,$B30)</f>
        <v>0</v>
      </c>
    </row>
    <row r="31" customFormat="false" ht="15" hidden="false" customHeight="false" outlineLevel="0" collapsed="false">
      <c r="A31" s="4" t="s">
        <v>14</v>
      </c>
      <c r="B31" s="4" t="s">
        <v>46</v>
      </c>
      <c r="C31" s="4" t="s">
        <v>21</v>
      </c>
      <c r="D31" s="4" t="s">
        <v>17</v>
      </c>
      <c r="E31" s="5" t="n">
        <v>0</v>
      </c>
      <c r="F31" s="5" t="n">
        <v>0</v>
      </c>
      <c r="G31" s="5" t="n">
        <f aca="false">E31+F31</f>
        <v>0</v>
      </c>
      <c r="H31" s="5" t="n">
        <f aca="false">SUMIFS(Accounts!$I:$I,Accounts!$A:$A,$B31,Accounts!$B:$B,"Summer bonus")</f>
        <v>0</v>
      </c>
      <c r="I31" s="5" t="n">
        <f aca="false">SUMIFS(Accounts!$I:$I,Accounts!$A:$A,$B31,Accounts!$B:$B,"Change order")</f>
        <v>-1976.76</v>
      </c>
      <c r="J31" s="5" t="n">
        <f aca="false">SUMIFS(Adjustments!$D:$D,Adjustments!$A:$A,$B31)</f>
        <v>0</v>
      </c>
      <c r="K31" s="5" t="n">
        <f aca="false">G31+H31+I31+J31</f>
        <v>-1976.76</v>
      </c>
      <c r="L31" s="5" t="n">
        <f aca="false">SUMIFS(Withheld!$J:$J,Withheld!$A:$A,$B31)</f>
        <v>0</v>
      </c>
    </row>
    <row r="32" customFormat="false" ht="15" hidden="false" customHeight="false" outlineLevel="0" collapsed="false">
      <c r="A32" s="6"/>
      <c r="B32" s="7" t="s">
        <v>47</v>
      </c>
      <c r="C32" s="6"/>
      <c r="D32" s="6"/>
      <c r="E32" s="8" t="n">
        <f aca="false">SUM(E5:E31)</f>
        <v>16064.8</v>
      </c>
      <c r="F32" s="8" t="n">
        <f aca="false">SUM(F5:F31)</f>
        <v>28916.64</v>
      </c>
      <c r="G32" s="8" t="n">
        <f aca="false">SUM(G5:G31)</f>
        <v>44981.44</v>
      </c>
      <c r="H32" s="8" t="n">
        <f aca="false">SUM(H5:H31)</f>
        <v>28819.92</v>
      </c>
      <c r="I32" s="8" t="n">
        <f aca="false">SUM(I5:I31)</f>
        <v>-7540.18</v>
      </c>
      <c r="J32" s="8" t="n">
        <f aca="false">SUM(J5:J31)</f>
        <v>-412.5</v>
      </c>
      <c r="K32" s="9" t="n">
        <f aca="false">SUM(K5:K31)</f>
        <v>65848.68</v>
      </c>
      <c r="L32" s="8" t="n">
        <f aca="false">SUM(L5:L31)</f>
        <v>7754.18</v>
      </c>
    </row>
    <row r="34" customFormat="false" ht="15" hidden="false" customHeight="false" outlineLevel="0" collapsed="false">
      <c r="B34" s="2" t="s">
        <v>48</v>
      </c>
      <c r="K34" s="10" t="n">
        <v>244715.46</v>
      </c>
    </row>
    <row r="35" customFormat="false" ht="15" hidden="false" customHeight="false" outlineLevel="0" collapsed="false">
      <c r="B35" s="2" t="s">
        <v>49</v>
      </c>
      <c r="K35" s="10" t="n">
        <f aca="false">K34-K32</f>
        <v>178866.78</v>
      </c>
    </row>
    <row r="36" customFormat="false" ht="15" hidden="false" customHeight="false" outlineLevel="0" collapsed="false">
      <c r="B36" s="2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42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8" min="7" style="0" width="15"/>
    <col collapsed="false" customWidth="true" hidden="false" outlineLevel="0" max="9" min="9" style="0" width="13"/>
    <col collapsed="false" customWidth="true" hidden="false" outlineLevel="0" max="10" min="10" style="0" width="60"/>
  </cols>
  <sheetData>
    <row r="1" customFormat="false" ht="15" hidden="false" customHeight="false" outlineLevel="0" collapsed="false">
      <c r="A1" s="3" t="s">
        <v>3</v>
      </c>
      <c r="B1" s="3" t="s">
        <v>51</v>
      </c>
      <c r="C1" s="3" t="s">
        <v>52</v>
      </c>
      <c r="D1" s="3" t="s">
        <v>53</v>
      </c>
      <c r="E1" s="3" t="s">
        <v>4</v>
      </c>
      <c r="F1" s="3" t="s">
        <v>54</v>
      </c>
      <c r="G1" s="3" t="s">
        <v>55</v>
      </c>
      <c r="H1" s="3" t="s">
        <v>56</v>
      </c>
      <c r="I1" s="3" t="s">
        <v>57</v>
      </c>
      <c r="J1" s="3" t="s">
        <v>58</v>
      </c>
    </row>
    <row r="2" customFormat="false" ht="15" hidden="false" customHeight="false" outlineLevel="0" collapsed="false">
      <c r="A2" s="4" t="s">
        <v>15</v>
      </c>
      <c r="B2" s="4" t="s">
        <v>59</v>
      </c>
      <c r="C2" s="4" t="s">
        <v>6</v>
      </c>
      <c r="D2" s="4" t="s">
        <v>60</v>
      </c>
      <c r="E2" s="4" t="s">
        <v>16</v>
      </c>
      <c r="F2" s="4" t="s">
        <v>61</v>
      </c>
      <c r="G2" s="5" t="n">
        <v>4400</v>
      </c>
      <c r="H2" s="5" t="n">
        <v>4400</v>
      </c>
      <c r="I2" s="5" t="n">
        <v>-481.3</v>
      </c>
      <c r="J2" s="4" t="s">
        <v>62</v>
      </c>
    </row>
    <row r="3" customFormat="false" ht="15" hidden="false" customHeight="false" outlineLevel="0" collapsed="false">
      <c r="A3" s="4" t="s">
        <v>15</v>
      </c>
      <c r="B3" s="4" t="s">
        <v>9</v>
      </c>
      <c r="C3" s="4" t="s">
        <v>63</v>
      </c>
      <c r="D3" s="4" t="s">
        <v>64</v>
      </c>
      <c r="E3" s="4" t="s">
        <v>16</v>
      </c>
      <c r="F3" s="4" t="s">
        <v>65</v>
      </c>
      <c r="G3" s="5" t="n">
        <v>20821</v>
      </c>
      <c r="H3" s="5" t="n">
        <v>20821</v>
      </c>
      <c r="I3" s="5" t="n">
        <v>832.84</v>
      </c>
      <c r="J3" s="4" t="s">
        <v>66</v>
      </c>
    </row>
    <row r="4" customFormat="false" ht="15" hidden="false" customHeight="false" outlineLevel="0" collapsed="false">
      <c r="A4" s="4" t="s">
        <v>15</v>
      </c>
      <c r="B4" s="4" t="s">
        <v>9</v>
      </c>
      <c r="C4" s="4" t="s">
        <v>63</v>
      </c>
      <c r="D4" s="4" t="s">
        <v>67</v>
      </c>
      <c r="E4" s="4" t="s">
        <v>16</v>
      </c>
      <c r="F4" s="4" t="s">
        <v>68</v>
      </c>
      <c r="G4" s="5" t="n">
        <v>12757</v>
      </c>
      <c r="H4" s="5" t="n">
        <v>12757</v>
      </c>
      <c r="I4" s="5" t="n">
        <v>510.28</v>
      </c>
      <c r="J4" s="4" t="s">
        <v>66</v>
      </c>
    </row>
    <row r="5" customFormat="false" ht="15" hidden="false" customHeight="false" outlineLevel="0" collapsed="false">
      <c r="A5" s="4" t="s">
        <v>15</v>
      </c>
      <c r="B5" s="4" t="s">
        <v>8</v>
      </c>
      <c r="C5" s="4" t="s">
        <v>69</v>
      </c>
      <c r="D5" s="4" t="s">
        <v>70</v>
      </c>
      <c r="E5" s="4" t="s">
        <v>16</v>
      </c>
      <c r="F5" s="4" t="s">
        <v>71</v>
      </c>
      <c r="G5" s="5" t="n">
        <v>43926</v>
      </c>
      <c r="H5" s="5" t="n">
        <v>43926</v>
      </c>
      <c r="I5" s="5" t="n">
        <v>6149.64</v>
      </c>
      <c r="J5" s="4" t="s">
        <v>72</v>
      </c>
    </row>
    <row r="6" customFormat="false" ht="15" hidden="false" customHeight="false" outlineLevel="0" collapsed="false">
      <c r="A6" s="4" t="s">
        <v>15</v>
      </c>
      <c r="B6" s="4" t="s">
        <v>9</v>
      </c>
      <c r="C6" s="4" t="s">
        <v>63</v>
      </c>
      <c r="D6" s="4" t="s">
        <v>70</v>
      </c>
      <c r="E6" s="4" t="s">
        <v>16</v>
      </c>
      <c r="F6" s="4" t="s">
        <v>71</v>
      </c>
      <c r="G6" s="5" t="n">
        <v>43926</v>
      </c>
      <c r="H6" s="5" t="n">
        <v>43926</v>
      </c>
      <c r="I6" s="5" t="n">
        <v>1757.04</v>
      </c>
      <c r="J6" s="4" t="s">
        <v>66</v>
      </c>
    </row>
    <row r="7" customFormat="false" ht="15" hidden="false" customHeight="false" outlineLevel="0" collapsed="false">
      <c r="A7" s="4" t="s">
        <v>18</v>
      </c>
      <c r="B7" s="4" t="s">
        <v>59</v>
      </c>
      <c r="C7" s="4" t="s">
        <v>7</v>
      </c>
      <c r="D7" s="4" t="s">
        <v>73</v>
      </c>
      <c r="E7" s="4" t="s">
        <v>21</v>
      </c>
      <c r="F7" s="4" t="s">
        <v>74</v>
      </c>
      <c r="G7" s="5" t="n">
        <v>21964</v>
      </c>
      <c r="H7" s="5" t="n">
        <v>0</v>
      </c>
      <c r="I7" s="5" t="n">
        <v>-1976.76</v>
      </c>
      <c r="J7" s="4" t="s">
        <v>62</v>
      </c>
    </row>
    <row r="8" customFormat="false" ht="15" hidden="false" customHeight="false" outlineLevel="0" collapsed="false">
      <c r="A8" s="4" t="s">
        <v>18</v>
      </c>
      <c r="B8" s="4" t="s">
        <v>8</v>
      </c>
      <c r="C8" s="4" t="s">
        <v>75</v>
      </c>
      <c r="D8" s="4" t="s">
        <v>76</v>
      </c>
      <c r="E8" s="4" t="s">
        <v>21</v>
      </c>
      <c r="F8" s="4" t="s">
        <v>77</v>
      </c>
      <c r="G8" s="5" t="n">
        <v>17811</v>
      </c>
      <c r="H8" s="5" t="n">
        <v>17811</v>
      </c>
      <c r="I8" s="5" t="n">
        <v>1602.99</v>
      </c>
      <c r="J8" s="4" t="s">
        <v>78</v>
      </c>
    </row>
    <row r="9" customFormat="false" ht="15" hidden="false" customHeight="false" outlineLevel="0" collapsed="false">
      <c r="A9" s="4" t="s">
        <v>18</v>
      </c>
      <c r="B9" s="4" t="s">
        <v>8</v>
      </c>
      <c r="C9" s="4" t="s">
        <v>75</v>
      </c>
      <c r="D9" s="4" t="s">
        <v>79</v>
      </c>
      <c r="E9" s="4" t="s">
        <v>21</v>
      </c>
      <c r="F9" s="4" t="s">
        <v>80</v>
      </c>
      <c r="G9" s="5" t="n">
        <v>27179</v>
      </c>
      <c r="H9" s="5" t="n">
        <v>27179</v>
      </c>
      <c r="I9" s="5" t="n">
        <v>2446.11</v>
      </c>
      <c r="J9" s="4"/>
    </row>
    <row r="10" customFormat="false" ht="15" hidden="false" customHeight="false" outlineLevel="0" collapsed="false">
      <c r="A10" s="4" t="s">
        <v>20</v>
      </c>
      <c r="B10" s="4" t="s">
        <v>59</v>
      </c>
      <c r="C10" s="4" t="s">
        <v>7</v>
      </c>
      <c r="D10" s="4" t="s">
        <v>81</v>
      </c>
      <c r="E10" s="4" t="s">
        <v>21</v>
      </c>
      <c r="F10" s="4" t="s">
        <v>82</v>
      </c>
      <c r="G10" s="5" t="n">
        <v>13422</v>
      </c>
      <c r="H10" s="5" t="n">
        <v>0</v>
      </c>
      <c r="I10" s="5" t="n">
        <v>-1207.98</v>
      </c>
      <c r="J10" s="4" t="s">
        <v>62</v>
      </c>
    </row>
    <row r="11" customFormat="false" ht="15" hidden="false" customHeight="false" outlineLevel="0" collapsed="false">
      <c r="A11" s="4" t="s">
        <v>20</v>
      </c>
      <c r="B11" s="4" t="s">
        <v>8</v>
      </c>
      <c r="C11" s="4" t="s">
        <v>75</v>
      </c>
      <c r="D11" s="4" t="s">
        <v>83</v>
      </c>
      <c r="E11" s="4" t="s">
        <v>21</v>
      </c>
      <c r="F11" s="4" t="s">
        <v>84</v>
      </c>
      <c r="G11" s="5" t="n">
        <v>15902</v>
      </c>
      <c r="H11" s="5" t="n">
        <v>15902</v>
      </c>
      <c r="I11" s="5" t="n">
        <v>1431.18</v>
      </c>
      <c r="J11" s="4" t="s">
        <v>78</v>
      </c>
    </row>
    <row r="12" customFormat="false" ht="15" hidden="false" customHeight="false" outlineLevel="0" collapsed="false">
      <c r="A12" s="4" t="s">
        <v>20</v>
      </c>
      <c r="B12" s="4" t="s">
        <v>8</v>
      </c>
      <c r="C12" s="4" t="s">
        <v>75</v>
      </c>
      <c r="D12" s="4" t="s">
        <v>85</v>
      </c>
      <c r="E12" s="4" t="s">
        <v>21</v>
      </c>
      <c r="F12" s="4" t="s">
        <v>86</v>
      </c>
      <c r="G12" s="5" t="n">
        <v>14796</v>
      </c>
      <c r="H12" s="5" t="n">
        <v>14796</v>
      </c>
      <c r="I12" s="5" t="n">
        <v>1331.64</v>
      </c>
      <c r="J12" s="4"/>
    </row>
    <row r="13" customFormat="false" ht="15" hidden="false" customHeight="false" outlineLevel="0" collapsed="false">
      <c r="A13" s="4" t="s">
        <v>20</v>
      </c>
      <c r="B13" s="4" t="s">
        <v>8</v>
      </c>
      <c r="C13" s="4" t="s">
        <v>75</v>
      </c>
      <c r="D13" s="4" t="s">
        <v>87</v>
      </c>
      <c r="E13" s="4" t="s">
        <v>21</v>
      </c>
      <c r="F13" s="4" t="s">
        <v>88</v>
      </c>
      <c r="G13" s="5" t="n">
        <v>23395</v>
      </c>
      <c r="H13" s="5" t="n">
        <v>23395</v>
      </c>
      <c r="I13" s="5" t="n">
        <v>2105.55</v>
      </c>
      <c r="J13" s="4"/>
    </row>
    <row r="14" customFormat="false" ht="15" hidden="false" customHeight="false" outlineLevel="0" collapsed="false">
      <c r="A14" s="4" t="s">
        <v>22</v>
      </c>
      <c r="B14" s="4" t="s">
        <v>59</v>
      </c>
      <c r="C14" s="4" t="s">
        <v>69</v>
      </c>
      <c r="D14" s="4" t="s">
        <v>89</v>
      </c>
      <c r="E14" s="4" t="s">
        <v>23</v>
      </c>
      <c r="F14" s="4" t="s">
        <v>90</v>
      </c>
      <c r="G14" s="5" t="n">
        <v>2571</v>
      </c>
      <c r="H14" s="5" t="n">
        <v>0</v>
      </c>
      <c r="I14" s="5" t="n">
        <v>-359.94</v>
      </c>
      <c r="J14" s="4" t="s">
        <v>91</v>
      </c>
    </row>
    <row r="15" customFormat="false" ht="15" hidden="false" customHeight="false" outlineLevel="0" collapsed="false">
      <c r="A15" s="4" t="s">
        <v>22</v>
      </c>
      <c r="B15" s="4" t="s">
        <v>8</v>
      </c>
      <c r="C15" s="4" t="s">
        <v>69</v>
      </c>
      <c r="D15" s="4" t="s">
        <v>92</v>
      </c>
      <c r="E15" s="4" t="s">
        <v>23</v>
      </c>
      <c r="F15" s="4" t="s">
        <v>93</v>
      </c>
      <c r="G15" s="5" t="n">
        <v>47530</v>
      </c>
      <c r="H15" s="5" t="n">
        <v>47530</v>
      </c>
      <c r="I15" s="5" t="n">
        <v>6654.2</v>
      </c>
      <c r="J15" s="4" t="s">
        <v>94</v>
      </c>
    </row>
    <row r="16" customFormat="false" ht="15" hidden="false" customHeight="false" outlineLevel="0" collapsed="false">
      <c r="A16" s="4" t="s">
        <v>22</v>
      </c>
      <c r="B16" s="4" t="s">
        <v>8</v>
      </c>
      <c r="C16" s="4" t="s">
        <v>69</v>
      </c>
      <c r="D16" s="4" t="s">
        <v>95</v>
      </c>
      <c r="E16" s="4" t="s">
        <v>23</v>
      </c>
      <c r="F16" s="4" t="s">
        <v>80</v>
      </c>
      <c r="G16" s="5" t="n">
        <v>10001</v>
      </c>
      <c r="H16" s="5" t="n">
        <v>10001</v>
      </c>
      <c r="I16" s="5" t="n">
        <v>1400.14</v>
      </c>
      <c r="J16" s="4" t="s">
        <v>96</v>
      </c>
    </row>
    <row r="17" customFormat="false" ht="15" hidden="false" customHeight="false" outlineLevel="0" collapsed="false">
      <c r="A17" s="4" t="s">
        <v>24</v>
      </c>
      <c r="B17" s="4" t="s">
        <v>8</v>
      </c>
      <c r="C17" s="4" t="s">
        <v>69</v>
      </c>
      <c r="D17" s="4" t="s">
        <v>97</v>
      </c>
      <c r="E17" s="4" t="s">
        <v>19</v>
      </c>
      <c r="F17" s="4" t="s">
        <v>98</v>
      </c>
      <c r="G17" s="5" t="n">
        <v>43003</v>
      </c>
      <c r="H17" s="5" t="n">
        <v>43003</v>
      </c>
      <c r="I17" s="5" t="n">
        <v>6020.42</v>
      </c>
      <c r="J17" s="4" t="s">
        <v>99</v>
      </c>
    </row>
    <row r="18" customFormat="false" ht="15" hidden="false" customHeight="false" outlineLevel="0" collapsed="false">
      <c r="A18" s="4" t="s">
        <v>24</v>
      </c>
      <c r="B18" s="4" t="s">
        <v>9</v>
      </c>
      <c r="C18" s="4" t="s">
        <v>100</v>
      </c>
      <c r="D18" s="4" t="s">
        <v>97</v>
      </c>
      <c r="E18" s="4" t="s">
        <v>19</v>
      </c>
      <c r="F18" s="4" t="s">
        <v>98</v>
      </c>
      <c r="G18" s="5" t="n">
        <v>43003</v>
      </c>
      <c r="H18" s="5" t="n">
        <v>43003</v>
      </c>
      <c r="I18" s="5" t="n">
        <v>860.06</v>
      </c>
      <c r="J18" s="4" t="s">
        <v>101</v>
      </c>
    </row>
    <row r="19" customFormat="false" ht="15" hidden="false" customHeight="false" outlineLevel="0" collapsed="false">
      <c r="A19" s="4" t="s">
        <v>24</v>
      </c>
      <c r="B19" s="4" t="s">
        <v>9</v>
      </c>
      <c r="C19" s="4" t="s">
        <v>100</v>
      </c>
      <c r="D19" s="4" t="s">
        <v>102</v>
      </c>
      <c r="E19" s="4" t="s">
        <v>19</v>
      </c>
      <c r="F19" s="4" t="s">
        <v>103</v>
      </c>
      <c r="G19" s="5" t="n">
        <v>22991</v>
      </c>
      <c r="H19" s="5" t="n">
        <v>22991</v>
      </c>
      <c r="I19" s="5" t="n">
        <v>459.82</v>
      </c>
      <c r="J19" s="4" t="s">
        <v>101</v>
      </c>
    </row>
    <row r="20" customFormat="false" ht="15" hidden="false" customHeight="false" outlineLevel="0" collapsed="false">
      <c r="A20" s="4" t="s">
        <v>25</v>
      </c>
      <c r="B20" s="4" t="s">
        <v>9</v>
      </c>
      <c r="C20" s="4" t="s">
        <v>100</v>
      </c>
      <c r="D20" s="4" t="s">
        <v>104</v>
      </c>
      <c r="E20" s="4" t="s">
        <v>23</v>
      </c>
      <c r="F20" s="4" t="s">
        <v>84</v>
      </c>
      <c r="G20" s="5" t="n">
        <v>16955</v>
      </c>
      <c r="H20" s="5" t="n">
        <v>16955</v>
      </c>
      <c r="I20" s="5" t="n">
        <v>339.1</v>
      </c>
      <c r="J20" s="4" t="s">
        <v>101</v>
      </c>
    </row>
    <row r="21" customFormat="false" ht="15" hidden="false" customHeight="false" outlineLevel="0" collapsed="false">
      <c r="A21" s="4" t="s">
        <v>25</v>
      </c>
      <c r="B21" s="4" t="s">
        <v>8</v>
      </c>
      <c r="C21" s="4" t="s">
        <v>75</v>
      </c>
      <c r="D21" s="4" t="s">
        <v>105</v>
      </c>
      <c r="E21" s="4" t="s">
        <v>23</v>
      </c>
      <c r="F21" s="4" t="s">
        <v>106</v>
      </c>
      <c r="G21" s="5" t="n">
        <v>12935</v>
      </c>
      <c r="H21" s="5" t="n">
        <v>12935</v>
      </c>
      <c r="I21" s="5" t="n">
        <v>1164.15</v>
      </c>
      <c r="J21" s="4" t="s">
        <v>78</v>
      </c>
    </row>
    <row r="22" customFormat="false" ht="15" hidden="false" customHeight="false" outlineLevel="0" collapsed="false">
      <c r="A22" s="4" t="s">
        <v>25</v>
      </c>
      <c r="B22" s="4" t="s">
        <v>9</v>
      </c>
      <c r="C22" s="4" t="s">
        <v>100</v>
      </c>
      <c r="D22" s="4" t="s">
        <v>107</v>
      </c>
      <c r="E22" s="4" t="s">
        <v>23</v>
      </c>
      <c r="F22" s="4" t="s">
        <v>103</v>
      </c>
      <c r="G22" s="5" t="n">
        <v>10098</v>
      </c>
      <c r="H22" s="5" t="n">
        <v>10098</v>
      </c>
      <c r="I22" s="5" t="n">
        <v>201.96</v>
      </c>
      <c r="J22" s="4" t="s">
        <v>101</v>
      </c>
    </row>
    <row r="23" customFormat="false" ht="15" hidden="false" customHeight="false" outlineLevel="0" collapsed="false">
      <c r="A23" s="4" t="s">
        <v>25</v>
      </c>
      <c r="B23" s="4" t="s">
        <v>9</v>
      </c>
      <c r="C23" s="4" t="s">
        <v>63</v>
      </c>
      <c r="D23" s="4" t="s">
        <v>108</v>
      </c>
      <c r="E23" s="4" t="s">
        <v>23</v>
      </c>
      <c r="F23" s="4" t="s">
        <v>109</v>
      </c>
      <c r="G23" s="5" t="n">
        <v>15055</v>
      </c>
      <c r="H23" s="5" t="n">
        <v>15055</v>
      </c>
      <c r="I23" s="5" t="n">
        <v>602.2</v>
      </c>
      <c r="J23" s="4" t="s">
        <v>110</v>
      </c>
    </row>
    <row r="24" customFormat="false" ht="15" hidden="false" customHeight="false" outlineLevel="0" collapsed="false">
      <c r="A24" s="4" t="s">
        <v>25</v>
      </c>
      <c r="B24" s="4" t="s">
        <v>9</v>
      </c>
      <c r="C24" s="4" t="s">
        <v>63</v>
      </c>
      <c r="D24" s="4" t="s">
        <v>111</v>
      </c>
      <c r="E24" s="4" t="s">
        <v>23</v>
      </c>
      <c r="F24" s="4" t="s">
        <v>112</v>
      </c>
      <c r="G24" s="5" t="n">
        <v>7603</v>
      </c>
      <c r="H24" s="5" t="n">
        <v>7603</v>
      </c>
      <c r="I24" s="5" t="n">
        <v>304.12</v>
      </c>
      <c r="J24" s="4" t="s">
        <v>110</v>
      </c>
    </row>
    <row r="25" customFormat="false" ht="15" hidden="false" customHeight="false" outlineLevel="0" collapsed="false">
      <c r="A25" s="4" t="s">
        <v>25</v>
      </c>
      <c r="B25" s="4" t="s">
        <v>8</v>
      </c>
      <c r="C25" s="4" t="s">
        <v>75</v>
      </c>
      <c r="D25" s="4" t="s">
        <v>113</v>
      </c>
      <c r="E25" s="4" t="s">
        <v>23</v>
      </c>
      <c r="F25" s="4" t="s">
        <v>114</v>
      </c>
      <c r="G25" s="5" t="n">
        <v>11832</v>
      </c>
      <c r="H25" s="5" t="n">
        <v>11832</v>
      </c>
      <c r="I25" s="5" t="n">
        <v>1064.88</v>
      </c>
      <c r="J25" s="4" t="s">
        <v>78</v>
      </c>
    </row>
    <row r="26" customFormat="false" ht="15" hidden="false" customHeight="false" outlineLevel="0" collapsed="false">
      <c r="A26" s="4" t="s">
        <v>25</v>
      </c>
      <c r="B26" s="4" t="s">
        <v>9</v>
      </c>
      <c r="C26" s="4" t="s">
        <v>63</v>
      </c>
      <c r="D26" s="4" t="s">
        <v>115</v>
      </c>
      <c r="E26" s="4" t="s">
        <v>23</v>
      </c>
      <c r="F26" s="4" t="s">
        <v>77</v>
      </c>
      <c r="G26" s="5" t="n">
        <v>26855</v>
      </c>
      <c r="H26" s="5" t="n">
        <v>26855</v>
      </c>
      <c r="I26" s="5" t="n">
        <v>1074.2</v>
      </c>
      <c r="J26" s="4" t="s">
        <v>110</v>
      </c>
    </row>
    <row r="27" customFormat="false" ht="15" hidden="false" customHeight="false" outlineLevel="0" collapsed="false">
      <c r="A27" s="4" t="s">
        <v>25</v>
      </c>
      <c r="B27" s="4" t="s">
        <v>8</v>
      </c>
      <c r="C27" s="4" t="s">
        <v>75</v>
      </c>
      <c r="D27" s="4" t="s">
        <v>116</v>
      </c>
      <c r="E27" s="4" t="s">
        <v>23</v>
      </c>
      <c r="F27" s="4" t="s">
        <v>117</v>
      </c>
      <c r="G27" s="5" t="n">
        <v>12807</v>
      </c>
      <c r="H27" s="5" t="n">
        <v>12807</v>
      </c>
      <c r="I27" s="5" t="n">
        <v>1152.63</v>
      </c>
      <c r="J27" s="4"/>
    </row>
    <row r="28" customFormat="false" ht="15" hidden="false" customHeight="false" outlineLevel="0" collapsed="false">
      <c r="A28" s="4" t="s">
        <v>26</v>
      </c>
      <c r="B28" s="4" t="s">
        <v>9</v>
      </c>
      <c r="C28" s="4" t="s">
        <v>63</v>
      </c>
      <c r="D28" s="4" t="s">
        <v>118</v>
      </c>
      <c r="E28" s="4" t="s">
        <v>23</v>
      </c>
      <c r="F28" s="4" t="s">
        <v>98</v>
      </c>
      <c r="G28" s="5" t="n">
        <v>10997</v>
      </c>
      <c r="H28" s="5" t="n">
        <v>10997</v>
      </c>
      <c r="I28" s="5" t="n">
        <v>439.88</v>
      </c>
      <c r="J28" s="4" t="s">
        <v>119</v>
      </c>
    </row>
    <row r="29" customFormat="false" ht="15" hidden="false" customHeight="false" outlineLevel="0" collapsed="false">
      <c r="A29" s="4" t="s">
        <v>26</v>
      </c>
      <c r="B29" s="4" t="s">
        <v>9</v>
      </c>
      <c r="C29" s="4" t="s">
        <v>63</v>
      </c>
      <c r="D29" s="4" t="s">
        <v>120</v>
      </c>
      <c r="E29" s="4" t="s">
        <v>23</v>
      </c>
      <c r="F29" s="4" t="s">
        <v>106</v>
      </c>
      <c r="G29" s="5" t="n">
        <v>15833</v>
      </c>
      <c r="H29" s="5" t="n">
        <v>15833</v>
      </c>
      <c r="I29" s="5" t="n">
        <v>633.32</v>
      </c>
      <c r="J29" s="4" t="s">
        <v>119</v>
      </c>
    </row>
    <row r="30" customFormat="false" ht="15" hidden="false" customHeight="false" outlineLevel="0" collapsed="false">
      <c r="A30" s="4" t="s">
        <v>26</v>
      </c>
      <c r="B30" s="4" t="s">
        <v>9</v>
      </c>
      <c r="C30" s="4" t="s">
        <v>63</v>
      </c>
      <c r="D30" s="4" t="s">
        <v>121</v>
      </c>
      <c r="E30" s="4" t="s">
        <v>23</v>
      </c>
      <c r="F30" s="4" t="s">
        <v>122</v>
      </c>
      <c r="G30" s="5" t="n">
        <v>8050</v>
      </c>
      <c r="H30" s="5" t="n">
        <v>8050</v>
      </c>
      <c r="I30" s="5" t="n">
        <v>322</v>
      </c>
      <c r="J30" s="4" t="s">
        <v>119</v>
      </c>
    </row>
    <row r="31" customFormat="false" ht="15" hidden="false" customHeight="false" outlineLevel="0" collapsed="false">
      <c r="A31" s="4" t="s">
        <v>26</v>
      </c>
      <c r="B31" s="4" t="s">
        <v>9</v>
      </c>
      <c r="C31" s="4" t="s">
        <v>63</v>
      </c>
      <c r="D31" s="4" t="s">
        <v>123</v>
      </c>
      <c r="E31" s="4" t="s">
        <v>23</v>
      </c>
      <c r="F31" s="4" t="s">
        <v>122</v>
      </c>
      <c r="G31" s="5" t="n">
        <v>7635</v>
      </c>
      <c r="H31" s="5" t="n">
        <v>0</v>
      </c>
      <c r="I31" s="5" t="n">
        <v>0</v>
      </c>
      <c r="J31" s="4" t="s">
        <v>119</v>
      </c>
    </row>
    <row r="32" customFormat="false" ht="15" hidden="false" customHeight="false" outlineLevel="0" collapsed="false">
      <c r="A32" s="4" t="s">
        <v>26</v>
      </c>
      <c r="B32" s="4" t="s">
        <v>9</v>
      </c>
      <c r="C32" s="4" t="s">
        <v>63</v>
      </c>
      <c r="D32" s="4" t="s">
        <v>124</v>
      </c>
      <c r="E32" s="4" t="s">
        <v>23</v>
      </c>
      <c r="F32" s="4" t="s">
        <v>103</v>
      </c>
      <c r="G32" s="5" t="n">
        <v>19259</v>
      </c>
      <c r="H32" s="5" t="n">
        <v>19259</v>
      </c>
      <c r="I32" s="5" t="n">
        <v>770.36</v>
      </c>
      <c r="J32" s="4" t="s">
        <v>119</v>
      </c>
    </row>
    <row r="33" customFormat="false" ht="15" hidden="false" customHeight="false" outlineLevel="0" collapsed="false">
      <c r="A33" s="4" t="s">
        <v>26</v>
      </c>
      <c r="B33" s="4" t="s">
        <v>9</v>
      </c>
      <c r="C33" s="4" t="s">
        <v>63</v>
      </c>
      <c r="D33" s="4" t="s">
        <v>125</v>
      </c>
      <c r="E33" s="4" t="s">
        <v>23</v>
      </c>
      <c r="F33" s="4" t="s">
        <v>103</v>
      </c>
      <c r="G33" s="5" t="n">
        <v>14318</v>
      </c>
      <c r="H33" s="5" t="n">
        <v>14318</v>
      </c>
      <c r="I33" s="5" t="n">
        <v>572.72</v>
      </c>
      <c r="J33" s="4" t="s">
        <v>119</v>
      </c>
    </row>
    <row r="34" customFormat="false" ht="15" hidden="false" customHeight="false" outlineLevel="0" collapsed="false">
      <c r="A34" s="4" t="s">
        <v>26</v>
      </c>
      <c r="B34" s="4" t="s">
        <v>9</v>
      </c>
      <c r="C34" s="4" t="s">
        <v>100</v>
      </c>
      <c r="D34" s="4" t="s">
        <v>126</v>
      </c>
      <c r="E34" s="4" t="s">
        <v>23</v>
      </c>
      <c r="F34" s="4" t="s">
        <v>114</v>
      </c>
      <c r="G34" s="5" t="n">
        <v>10008</v>
      </c>
      <c r="H34" s="5" t="n">
        <v>10008</v>
      </c>
      <c r="I34" s="5" t="n">
        <v>200.16</v>
      </c>
      <c r="J34" s="4" t="s">
        <v>127</v>
      </c>
    </row>
    <row r="35" customFormat="false" ht="15" hidden="false" customHeight="false" outlineLevel="0" collapsed="false">
      <c r="A35" s="4" t="s">
        <v>26</v>
      </c>
      <c r="B35" s="4" t="s">
        <v>9</v>
      </c>
      <c r="C35" s="4" t="s">
        <v>100</v>
      </c>
      <c r="D35" s="4" t="s">
        <v>128</v>
      </c>
      <c r="E35" s="4" t="s">
        <v>23</v>
      </c>
      <c r="F35" s="4" t="s">
        <v>77</v>
      </c>
      <c r="G35" s="5" t="n">
        <v>18938</v>
      </c>
      <c r="H35" s="5" t="n">
        <v>18938</v>
      </c>
      <c r="I35" s="5" t="n">
        <v>378.76</v>
      </c>
      <c r="J35" s="4" t="s">
        <v>127</v>
      </c>
    </row>
    <row r="36" customFormat="false" ht="15" hidden="false" customHeight="false" outlineLevel="0" collapsed="false">
      <c r="A36" s="4" t="s">
        <v>26</v>
      </c>
      <c r="B36" s="4" t="s">
        <v>9</v>
      </c>
      <c r="C36" s="4" t="s">
        <v>100</v>
      </c>
      <c r="D36" s="4" t="s">
        <v>129</v>
      </c>
      <c r="E36" s="4" t="s">
        <v>23</v>
      </c>
      <c r="F36" s="4" t="s">
        <v>130</v>
      </c>
      <c r="G36" s="5" t="n">
        <v>17404</v>
      </c>
      <c r="H36" s="5" t="n">
        <v>17404</v>
      </c>
      <c r="I36" s="5" t="n">
        <v>348.08</v>
      </c>
      <c r="J36" s="4" t="s">
        <v>131</v>
      </c>
    </row>
    <row r="37" customFormat="false" ht="15" hidden="false" customHeight="false" outlineLevel="0" collapsed="false">
      <c r="A37" s="4" t="s">
        <v>26</v>
      </c>
      <c r="B37" s="4" t="s">
        <v>8</v>
      </c>
      <c r="C37" s="4" t="s">
        <v>132</v>
      </c>
      <c r="D37" s="4" t="s">
        <v>133</v>
      </c>
      <c r="E37" s="4" t="s">
        <v>23</v>
      </c>
      <c r="F37" s="4" t="s">
        <v>93</v>
      </c>
      <c r="G37" s="5" t="n">
        <v>15189</v>
      </c>
      <c r="H37" s="5" t="n">
        <v>15189</v>
      </c>
      <c r="I37" s="5" t="n">
        <v>759.45</v>
      </c>
      <c r="J37" s="4"/>
    </row>
    <row r="38" customFormat="false" ht="15" hidden="false" customHeight="false" outlineLevel="0" collapsed="false">
      <c r="A38" s="4" t="s">
        <v>26</v>
      </c>
      <c r="B38" s="4" t="s">
        <v>9</v>
      </c>
      <c r="C38" s="4" t="s">
        <v>100</v>
      </c>
      <c r="D38" s="4" t="s">
        <v>133</v>
      </c>
      <c r="E38" s="4" t="s">
        <v>23</v>
      </c>
      <c r="F38" s="4" t="s">
        <v>93</v>
      </c>
      <c r="G38" s="5" t="n">
        <v>15189</v>
      </c>
      <c r="H38" s="5" t="n">
        <v>15189</v>
      </c>
      <c r="I38" s="5" t="n">
        <v>303.78</v>
      </c>
      <c r="J38" s="4" t="s">
        <v>131</v>
      </c>
    </row>
    <row r="39" customFormat="false" ht="15" hidden="false" customHeight="false" outlineLevel="0" collapsed="false">
      <c r="A39" s="4" t="s">
        <v>27</v>
      </c>
      <c r="B39" s="4" t="s">
        <v>9</v>
      </c>
      <c r="C39" s="4" t="s">
        <v>63</v>
      </c>
      <c r="D39" s="4" t="s">
        <v>134</v>
      </c>
      <c r="E39" s="4" t="s">
        <v>16</v>
      </c>
      <c r="F39" s="4" t="s">
        <v>65</v>
      </c>
      <c r="G39" s="5" t="n">
        <v>20247</v>
      </c>
      <c r="H39" s="5" t="n">
        <v>20247</v>
      </c>
      <c r="I39" s="5" t="n">
        <v>809.88</v>
      </c>
      <c r="J39" s="4" t="s">
        <v>135</v>
      </c>
    </row>
    <row r="40" customFormat="false" ht="15" hidden="false" customHeight="false" outlineLevel="0" collapsed="false">
      <c r="A40" s="4" t="s">
        <v>27</v>
      </c>
      <c r="B40" s="4" t="s">
        <v>9</v>
      </c>
      <c r="C40" s="4" t="s">
        <v>63</v>
      </c>
      <c r="D40" s="4" t="s">
        <v>136</v>
      </c>
      <c r="E40" s="4" t="s">
        <v>16</v>
      </c>
      <c r="F40" s="4" t="s">
        <v>68</v>
      </c>
      <c r="G40" s="5" t="n">
        <v>16393</v>
      </c>
      <c r="H40" s="5" t="n">
        <v>16393</v>
      </c>
      <c r="I40" s="5" t="n">
        <v>655.72</v>
      </c>
      <c r="J40" s="4" t="s">
        <v>135</v>
      </c>
    </row>
    <row r="41" customFormat="false" ht="15" hidden="false" customHeight="false" outlineLevel="0" collapsed="false">
      <c r="A41" s="4" t="s">
        <v>27</v>
      </c>
      <c r="B41" s="4" t="s">
        <v>9</v>
      </c>
      <c r="C41" s="4" t="s">
        <v>63</v>
      </c>
      <c r="D41" s="4" t="s">
        <v>137</v>
      </c>
      <c r="E41" s="4" t="s">
        <v>16</v>
      </c>
      <c r="F41" s="4" t="s">
        <v>68</v>
      </c>
      <c r="G41" s="5" t="n">
        <v>11229</v>
      </c>
      <c r="H41" s="5" t="n">
        <v>11229</v>
      </c>
      <c r="I41" s="5" t="n">
        <v>449.16</v>
      </c>
      <c r="J41" s="4" t="s">
        <v>135</v>
      </c>
    </row>
    <row r="42" customFormat="false" ht="15" hidden="false" customHeight="false" outlineLevel="0" collapsed="false">
      <c r="A42" s="4" t="s">
        <v>27</v>
      </c>
      <c r="B42" s="4" t="s">
        <v>9</v>
      </c>
      <c r="C42" s="4" t="s">
        <v>63</v>
      </c>
      <c r="D42" s="4" t="s">
        <v>138</v>
      </c>
      <c r="E42" s="4" t="s">
        <v>16</v>
      </c>
      <c r="F42" s="4" t="s">
        <v>68</v>
      </c>
      <c r="G42" s="5" t="n">
        <v>5920</v>
      </c>
      <c r="H42" s="5" t="n">
        <v>5920</v>
      </c>
      <c r="I42" s="5" t="n">
        <v>236.8</v>
      </c>
      <c r="J42" s="4" t="s">
        <v>135</v>
      </c>
    </row>
    <row r="43" customFormat="false" ht="15" hidden="false" customHeight="false" outlineLevel="0" collapsed="false">
      <c r="A43" s="4" t="s">
        <v>27</v>
      </c>
      <c r="B43" s="4" t="s">
        <v>9</v>
      </c>
      <c r="C43" s="4" t="s">
        <v>63</v>
      </c>
      <c r="D43" s="4" t="s">
        <v>139</v>
      </c>
      <c r="E43" s="4" t="s">
        <v>16</v>
      </c>
      <c r="F43" s="4" t="s">
        <v>140</v>
      </c>
      <c r="G43" s="5" t="n">
        <v>15992</v>
      </c>
      <c r="H43" s="5" t="n">
        <v>15992</v>
      </c>
      <c r="I43" s="5" t="n">
        <v>639.68</v>
      </c>
      <c r="J43" s="4" t="s">
        <v>135</v>
      </c>
    </row>
    <row r="44" customFormat="false" ht="15" hidden="false" customHeight="false" outlineLevel="0" collapsed="false">
      <c r="A44" s="4" t="s">
        <v>27</v>
      </c>
      <c r="B44" s="4" t="s">
        <v>9</v>
      </c>
      <c r="C44" s="4" t="s">
        <v>63</v>
      </c>
      <c r="D44" s="4" t="s">
        <v>141</v>
      </c>
      <c r="E44" s="4" t="s">
        <v>16</v>
      </c>
      <c r="F44" s="4" t="s">
        <v>142</v>
      </c>
      <c r="G44" s="5" t="n">
        <v>13219</v>
      </c>
      <c r="H44" s="5" t="n">
        <v>13219</v>
      </c>
      <c r="I44" s="5" t="n">
        <v>528.76</v>
      </c>
      <c r="J44" s="4" t="s">
        <v>135</v>
      </c>
    </row>
    <row r="45" customFormat="false" ht="15" hidden="false" customHeight="false" outlineLevel="0" collapsed="false">
      <c r="A45" s="4" t="s">
        <v>27</v>
      </c>
      <c r="B45" s="4" t="s">
        <v>8</v>
      </c>
      <c r="C45" s="4" t="s">
        <v>132</v>
      </c>
      <c r="D45" s="4" t="s">
        <v>143</v>
      </c>
      <c r="E45" s="4" t="s">
        <v>16</v>
      </c>
      <c r="F45" s="4" t="s">
        <v>93</v>
      </c>
      <c r="G45" s="5" t="n">
        <v>9038</v>
      </c>
      <c r="H45" s="5" t="n">
        <v>9038</v>
      </c>
      <c r="I45" s="5" t="n">
        <v>451.9</v>
      </c>
      <c r="J45" s="4"/>
    </row>
    <row r="46" customFormat="false" ht="15" hidden="false" customHeight="false" outlineLevel="0" collapsed="false">
      <c r="A46" s="4" t="s">
        <v>27</v>
      </c>
      <c r="B46" s="4" t="s">
        <v>8</v>
      </c>
      <c r="C46" s="4" t="s">
        <v>132</v>
      </c>
      <c r="D46" s="4" t="s">
        <v>144</v>
      </c>
      <c r="E46" s="4" t="s">
        <v>16</v>
      </c>
      <c r="F46" s="4" t="s">
        <v>117</v>
      </c>
      <c r="G46" s="5" t="n">
        <v>12418</v>
      </c>
      <c r="H46" s="5" t="n">
        <v>12418</v>
      </c>
      <c r="I46" s="5" t="n">
        <v>620.9</v>
      </c>
      <c r="J46" s="4"/>
    </row>
    <row r="47" customFormat="false" ht="15" hidden="false" customHeight="false" outlineLevel="0" collapsed="false">
      <c r="A47" s="4" t="s">
        <v>28</v>
      </c>
      <c r="B47" s="4" t="s">
        <v>8</v>
      </c>
      <c r="C47" s="4" t="s">
        <v>75</v>
      </c>
      <c r="D47" s="4" t="s">
        <v>143</v>
      </c>
      <c r="E47" s="4" t="s">
        <v>16</v>
      </c>
      <c r="F47" s="4" t="s">
        <v>93</v>
      </c>
      <c r="G47" s="5" t="n">
        <v>9038</v>
      </c>
      <c r="H47" s="5" t="n">
        <v>9038</v>
      </c>
      <c r="I47" s="5" t="n">
        <v>813.42</v>
      </c>
      <c r="J47" s="4"/>
    </row>
    <row r="48" customFormat="false" ht="15" hidden="false" customHeight="false" outlineLevel="0" collapsed="false">
      <c r="A48" s="4" t="s">
        <v>28</v>
      </c>
      <c r="B48" s="4" t="s">
        <v>8</v>
      </c>
      <c r="C48" s="4" t="s">
        <v>75</v>
      </c>
      <c r="D48" s="4" t="s">
        <v>144</v>
      </c>
      <c r="E48" s="4" t="s">
        <v>16</v>
      </c>
      <c r="F48" s="4" t="s">
        <v>117</v>
      </c>
      <c r="G48" s="5" t="n">
        <v>12418</v>
      </c>
      <c r="H48" s="5" t="n">
        <v>12418</v>
      </c>
      <c r="I48" s="5" t="n">
        <v>1117.62</v>
      </c>
      <c r="J48" s="4"/>
    </row>
    <row r="49" customFormat="false" ht="15" hidden="false" customHeight="false" outlineLevel="0" collapsed="false">
      <c r="A49" s="4" t="s">
        <v>29</v>
      </c>
      <c r="B49" s="4" t="s">
        <v>9</v>
      </c>
      <c r="C49" s="4" t="s">
        <v>63</v>
      </c>
      <c r="D49" s="4" t="s">
        <v>145</v>
      </c>
      <c r="E49" s="4" t="s">
        <v>21</v>
      </c>
      <c r="F49" s="4" t="s">
        <v>140</v>
      </c>
      <c r="G49" s="5" t="n">
        <v>20338</v>
      </c>
      <c r="H49" s="5" t="n">
        <v>20338</v>
      </c>
      <c r="I49" s="5" t="n">
        <v>813.52</v>
      </c>
      <c r="J49" s="4" t="s">
        <v>66</v>
      </c>
    </row>
    <row r="50" customFormat="false" ht="15" hidden="false" customHeight="false" outlineLevel="0" collapsed="false">
      <c r="A50" s="4" t="s">
        <v>29</v>
      </c>
      <c r="B50" s="4" t="s">
        <v>9</v>
      </c>
      <c r="C50" s="4" t="s">
        <v>63</v>
      </c>
      <c r="D50" s="4" t="s">
        <v>146</v>
      </c>
      <c r="E50" s="4" t="s">
        <v>21</v>
      </c>
      <c r="F50" s="4" t="s">
        <v>140</v>
      </c>
      <c r="G50" s="5" t="n">
        <v>20262</v>
      </c>
      <c r="H50" s="5" t="n">
        <v>20262</v>
      </c>
      <c r="I50" s="5" t="n">
        <v>810.48</v>
      </c>
      <c r="J50" s="4" t="s">
        <v>66</v>
      </c>
    </row>
    <row r="51" customFormat="false" ht="15" hidden="false" customHeight="false" outlineLevel="0" collapsed="false">
      <c r="A51" s="4" t="s">
        <v>29</v>
      </c>
      <c r="B51" s="4" t="s">
        <v>9</v>
      </c>
      <c r="C51" s="4" t="s">
        <v>63</v>
      </c>
      <c r="D51" s="4" t="s">
        <v>147</v>
      </c>
      <c r="E51" s="4" t="s">
        <v>21</v>
      </c>
      <c r="F51" s="4" t="s">
        <v>140</v>
      </c>
      <c r="G51" s="5" t="n">
        <v>13193</v>
      </c>
      <c r="H51" s="5" t="n">
        <v>13193</v>
      </c>
      <c r="I51" s="5" t="n">
        <v>527.72</v>
      </c>
      <c r="J51" s="4" t="s">
        <v>66</v>
      </c>
    </row>
    <row r="52" customFormat="false" ht="15" hidden="false" customHeight="false" outlineLevel="0" collapsed="false">
      <c r="A52" s="4" t="s">
        <v>29</v>
      </c>
      <c r="B52" s="4" t="s">
        <v>8</v>
      </c>
      <c r="C52" s="4" t="s">
        <v>132</v>
      </c>
      <c r="D52" s="4" t="s">
        <v>87</v>
      </c>
      <c r="E52" s="4" t="s">
        <v>21</v>
      </c>
      <c r="F52" s="4" t="s">
        <v>88</v>
      </c>
      <c r="G52" s="5" t="n">
        <v>23395</v>
      </c>
      <c r="H52" s="5" t="n">
        <v>23395</v>
      </c>
      <c r="I52" s="5" t="n">
        <v>1169.75</v>
      </c>
      <c r="J52" s="4"/>
    </row>
    <row r="53" customFormat="false" ht="15" hidden="false" customHeight="false" outlineLevel="0" collapsed="false">
      <c r="A53" s="4" t="s">
        <v>30</v>
      </c>
      <c r="B53" s="4" t="s">
        <v>9</v>
      </c>
      <c r="C53" s="4" t="s">
        <v>63</v>
      </c>
      <c r="D53" s="4" t="s">
        <v>148</v>
      </c>
      <c r="E53" s="4" t="s">
        <v>21</v>
      </c>
      <c r="F53" s="4" t="s">
        <v>149</v>
      </c>
      <c r="G53" s="5" t="n">
        <v>38023</v>
      </c>
      <c r="H53" s="5" t="n">
        <v>38023</v>
      </c>
      <c r="I53" s="5" t="n">
        <v>1520.92</v>
      </c>
      <c r="J53" s="4" t="s">
        <v>66</v>
      </c>
    </row>
    <row r="54" customFormat="false" ht="15" hidden="false" customHeight="false" outlineLevel="0" collapsed="false">
      <c r="A54" s="4" t="s">
        <v>30</v>
      </c>
      <c r="B54" s="4" t="s">
        <v>9</v>
      </c>
      <c r="C54" s="4" t="s">
        <v>63</v>
      </c>
      <c r="D54" s="4" t="s">
        <v>150</v>
      </c>
      <c r="E54" s="4" t="s">
        <v>21</v>
      </c>
      <c r="F54" s="4" t="s">
        <v>149</v>
      </c>
      <c r="G54" s="5" t="n">
        <v>18593</v>
      </c>
      <c r="H54" s="5" t="n">
        <v>18593</v>
      </c>
      <c r="I54" s="5" t="n">
        <v>743.72</v>
      </c>
      <c r="J54" s="4" t="s">
        <v>66</v>
      </c>
    </row>
    <row r="55" customFormat="false" ht="15" hidden="false" customHeight="false" outlineLevel="0" collapsed="false">
      <c r="A55" s="4" t="s">
        <v>30</v>
      </c>
      <c r="B55" s="4" t="s">
        <v>9</v>
      </c>
      <c r="C55" s="4" t="s">
        <v>63</v>
      </c>
      <c r="D55" s="4" t="s">
        <v>151</v>
      </c>
      <c r="E55" s="4" t="s">
        <v>21</v>
      </c>
      <c r="F55" s="4" t="s">
        <v>149</v>
      </c>
      <c r="G55" s="5" t="n">
        <v>9937</v>
      </c>
      <c r="H55" s="5" t="n">
        <v>9937</v>
      </c>
      <c r="I55" s="5" t="n">
        <v>397.48</v>
      </c>
      <c r="J55" s="4" t="s">
        <v>66</v>
      </c>
    </row>
    <row r="56" customFormat="false" ht="15" hidden="false" customHeight="false" outlineLevel="0" collapsed="false">
      <c r="A56" s="4" t="s">
        <v>31</v>
      </c>
      <c r="B56" s="4" t="s">
        <v>9</v>
      </c>
      <c r="C56" s="4" t="s">
        <v>63</v>
      </c>
      <c r="D56" s="4" t="s">
        <v>152</v>
      </c>
      <c r="E56" s="4" t="s">
        <v>16</v>
      </c>
      <c r="F56" s="4" t="s">
        <v>68</v>
      </c>
      <c r="G56" s="5" t="n">
        <v>13026</v>
      </c>
      <c r="H56" s="5" t="n">
        <v>13026</v>
      </c>
      <c r="I56" s="5" t="n">
        <v>521.04</v>
      </c>
      <c r="J56" s="4" t="s">
        <v>153</v>
      </c>
    </row>
    <row r="57" customFormat="false" ht="15" hidden="false" customHeight="false" outlineLevel="0" collapsed="false">
      <c r="A57" s="4" t="s">
        <v>31</v>
      </c>
      <c r="B57" s="4" t="s">
        <v>9</v>
      </c>
      <c r="C57" s="4" t="s">
        <v>63</v>
      </c>
      <c r="D57" s="4" t="s">
        <v>154</v>
      </c>
      <c r="E57" s="4" t="s">
        <v>16</v>
      </c>
      <c r="F57" s="4" t="s">
        <v>149</v>
      </c>
      <c r="G57" s="5" t="n">
        <v>16938</v>
      </c>
      <c r="H57" s="5" t="n">
        <v>16938</v>
      </c>
      <c r="I57" s="5" t="n">
        <v>677.52</v>
      </c>
      <c r="J57" s="4" t="s">
        <v>153</v>
      </c>
    </row>
    <row r="58" customFormat="false" ht="15" hidden="false" customHeight="false" outlineLevel="0" collapsed="false">
      <c r="A58" s="4" t="s">
        <v>31</v>
      </c>
      <c r="B58" s="4" t="s">
        <v>9</v>
      </c>
      <c r="C58" s="4" t="s">
        <v>63</v>
      </c>
      <c r="D58" s="4" t="s">
        <v>155</v>
      </c>
      <c r="E58" s="4" t="s">
        <v>16</v>
      </c>
      <c r="F58" s="4" t="s">
        <v>140</v>
      </c>
      <c r="G58" s="5" t="n">
        <v>6121</v>
      </c>
      <c r="H58" s="5" t="n">
        <v>6121</v>
      </c>
      <c r="I58" s="5" t="n">
        <v>244.84</v>
      </c>
      <c r="J58" s="4" t="s">
        <v>153</v>
      </c>
    </row>
    <row r="59" customFormat="false" ht="15" hidden="false" customHeight="false" outlineLevel="0" collapsed="false">
      <c r="A59" s="4" t="s">
        <v>31</v>
      </c>
      <c r="B59" s="4" t="s">
        <v>9</v>
      </c>
      <c r="C59" s="4" t="s">
        <v>63</v>
      </c>
      <c r="D59" s="4" t="s">
        <v>156</v>
      </c>
      <c r="E59" s="4" t="s">
        <v>16</v>
      </c>
      <c r="F59" s="4" t="s">
        <v>71</v>
      </c>
      <c r="G59" s="5" t="n">
        <v>19718</v>
      </c>
      <c r="H59" s="5" t="n">
        <v>19718</v>
      </c>
      <c r="I59" s="5" t="n">
        <v>788.72</v>
      </c>
      <c r="J59" s="4" t="s">
        <v>153</v>
      </c>
    </row>
    <row r="60" customFormat="false" ht="15" hidden="false" customHeight="false" outlineLevel="0" collapsed="false">
      <c r="A60" s="4" t="s">
        <v>31</v>
      </c>
      <c r="B60" s="4" t="s">
        <v>8</v>
      </c>
      <c r="C60" s="4" t="s">
        <v>132</v>
      </c>
      <c r="D60" s="4" t="s">
        <v>157</v>
      </c>
      <c r="E60" s="4" t="s">
        <v>16</v>
      </c>
      <c r="F60" s="4" t="s">
        <v>93</v>
      </c>
      <c r="G60" s="5" t="n">
        <v>3534</v>
      </c>
      <c r="H60" s="5" t="n">
        <v>3534</v>
      </c>
      <c r="I60" s="5" t="n">
        <v>176.7</v>
      </c>
      <c r="J60" s="4"/>
    </row>
    <row r="61" customFormat="false" ht="15" hidden="false" customHeight="false" outlineLevel="0" collapsed="false">
      <c r="A61" s="4" t="s">
        <v>32</v>
      </c>
      <c r="B61" s="4" t="s">
        <v>59</v>
      </c>
      <c r="C61" s="4" t="s">
        <v>6</v>
      </c>
      <c r="D61" s="4" t="s">
        <v>81</v>
      </c>
      <c r="E61" s="4" t="s">
        <v>21</v>
      </c>
      <c r="F61" s="4" t="s">
        <v>82</v>
      </c>
      <c r="G61" s="5" t="n">
        <v>13422</v>
      </c>
      <c r="H61" s="5" t="n">
        <v>0</v>
      </c>
      <c r="I61" s="5" t="n">
        <v>-671.1</v>
      </c>
      <c r="J61" s="4" t="s">
        <v>62</v>
      </c>
    </row>
    <row r="62" customFormat="false" ht="15" hidden="false" customHeight="false" outlineLevel="0" collapsed="false">
      <c r="A62" s="4" t="s">
        <v>32</v>
      </c>
      <c r="B62" s="4" t="s">
        <v>9</v>
      </c>
      <c r="C62" s="4" t="s">
        <v>100</v>
      </c>
      <c r="D62" s="4" t="s">
        <v>158</v>
      </c>
      <c r="E62" s="4" t="s">
        <v>21</v>
      </c>
      <c r="F62" s="4" t="s">
        <v>68</v>
      </c>
      <c r="G62" s="5" t="n">
        <v>5841</v>
      </c>
      <c r="H62" s="5" t="n">
        <v>5841</v>
      </c>
      <c r="I62" s="5" t="n">
        <v>116.82</v>
      </c>
      <c r="J62" s="4" t="s">
        <v>159</v>
      </c>
    </row>
    <row r="63" customFormat="false" ht="15" hidden="false" customHeight="false" outlineLevel="0" collapsed="false">
      <c r="A63" s="4" t="s">
        <v>32</v>
      </c>
      <c r="B63" s="4" t="s">
        <v>9</v>
      </c>
      <c r="C63" s="4" t="s">
        <v>100</v>
      </c>
      <c r="D63" s="4" t="s">
        <v>160</v>
      </c>
      <c r="E63" s="4" t="s">
        <v>21</v>
      </c>
      <c r="F63" s="4" t="s">
        <v>71</v>
      </c>
      <c r="G63" s="5" t="n">
        <v>12349</v>
      </c>
      <c r="H63" s="5" t="n">
        <v>12349</v>
      </c>
      <c r="I63" s="5" t="n">
        <v>246.98</v>
      </c>
      <c r="J63" s="4" t="s">
        <v>159</v>
      </c>
    </row>
    <row r="64" customFormat="false" ht="15" hidden="false" customHeight="false" outlineLevel="0" collapsed="false">
      <c r="A64" s="4" t="s">
        <v>32</v>
      </c>
      <c r="B64" s="4" t="s">
        <v>8</v>
      </c>
      <c r="C64" s="4" t="s">
        <v>132</v>
      </c>
      <c r="D64" s="4" t="s">
        <v>76</v>
      </c>
      <c r="E64" s="4" t="s">
        <v>21</v>
      </c>
      <c r="F64" s="4" t="s">
        <v>77</v>
      </c>
      <c r="G64" s="5" t="n">
        <v>17811</v>
      </c>
      <c r="H64" s="5" t="n">
        <v>17811</v>
      </c>
      <c r="I64" s="5" t="n">
        <v>890.55</v>
      </c>
      <c r="J64" s="4" t="s">
        <v>78</v>
      </c>
    </row>
    <row r="65" customFormat="false" ht="15" hidden="false" customHeight="false" outlineLevel="0" collapsed="false">
      <c r="A65" s="4" t="s">
        <v>32</v>
      </c>
      <c r="B65" s="4" t="s">
        <v>8</v>
      </c>
      <c r="C65" s="4" t="s">
        <v>132</v>
      </c>
      <c r="D65" s="4" t="s">
        <v>85</v>
      </c>
      <c r="E65" s="4" t="s">
        <v>21</v>
      </c>
      <c r="F65" s="4" t="s">
        <v>86</v>
      </c>
      <c r="G65" s="5" t="n">
        <v>14796</v>
      </c>
      <c r="H65" s="5" t="n">
        <v>14796</v>
      </c>
      <c r="I65" s="5" t="n">
        <v>739.8</v>
      </c>
      <c r="J65" s="4"/>
    </row>
    <row r="66" customFormat="false" ht="15" hidden="false" customHeight="false" outlineLevel="0" collapsed="false">
      <c r="A66" s="4" t="s">
        <v>33</v>
      </c>
      <c r="B66" s="4" t="s">
        <v>8</v>
      </c>
      <c r="C66" s="4" t="s">
        <v>132</v>
      </c>
      <c r="D66" s="4" t="s">
        <v>83</v>
      </c>
      <c r="E66" s="4" t="s">
        <v>21</v>
      </c>
      <c r="F66" s="4" t="s">
        <v>84</v>
      </c>
      <c r="G66" s="5" t="n">
        <v>15902</v>
      </c>
      <c r="H66" s="5" t="n">
        <v>15902</v>
      </c>
      <c r="I66" s="5" t="n">
        <v>795.1</v>
      </c>
      <c r="J66" s="4" t="s">
        <v>78</v>
      </c>
    </row>
    <row r="67" customFormat="false" ht="15" hidden="false" customHeight="false" outlineLevel="0" collapsed="false">
      <c r="A67" s="4" t="s">
        <v>33</v>
      </c>
      <c r="B67" s="4" t="s">
        <v>8</v>
      </c>
      <c r="C67" s="4" t="s">
        <v>132</v>
      </c>
      <c r="D67" s="4" t="s">
        <v>79</v>
      </c>
      <c r="E67" s="4" t="s">
        <v>21</v>
      </c>
      <c r="F67" s="4" t="s">
        <v>80</v>
      </c>
      <c r="G67" s="5" t="n">
        <v>27179</v>
      </c>
      <c r="H67" s="5" t="n">
        <v>27179</v>
      </c>
      <c r="I67" s="5" t="n">
        <v>1358.95</v>
      </c>
      <c r="J67" s="4"/>
    </row>
    <row r="68" customFormat="false" ht="15" hidden="false" customHeight="false" outlineLevel="0" collapsed="false">
      <c r="A68" s="4" t="s">
        <v>34</v>
      </c>
      <c r="B68" s="4" t="s">
        <v>8</v>
      </c>
      <c r="C68" s="4" t="s">
        <v>132</v>
      </c>
      <c r="D68" s="4" t="s">
        <v>113</v>
      </c>
      <c r="E68" s="4" t="s">
        <v>23</v>
      </c>
      <c r="F68" s="4" t="s">
        <v>114</v>
      </c>
      <c r="G68" s="5" t="n">
        <v>11832</v>
      </c>
      <c r="H68" s="5" t="n">
        <v>11832</v>
      </c>
      <c r="I68" s="5" t="n">
        <v>591.6</v>
      </c>
      <c r="J68" s="4" t="s">
        <v>78</v>
      </c>
    </row>
    <row r="69" customFormat="false" ht="15" hidden="false" customHeight="false" outlineLevel="0" collapsed="false">
      <c r="A69" s="4" t="s">
        <v>34</v>
      </c>
      <c r="B69" s="4" t="s">
        <v>9</v>
      </c>
      <c r="C69" s="4" t="s">
        <v>100</v>
      </c>
      <c r="D69" s="4" t="s">
        <v>161</v>
      </c>
      <c r="E69" s="4" t="s">
        <v>23</v>
      </c>
      <c r="F69" s="4" t="s">
        <v>162</v>
      </c>
      <c r="G69" s="5" t="n">
        <v>17474</v>
      </c>
      <c r="H69" s="5" t="n">
        <v>17474</v>
      </c>
      <c r="I69" s="5" t="n">
        <v>349.48</v>
      </c>
      <c r="J69" s="4" t="s">
        <v>131</v>
      </c>
    </row>
    <row r="70" customFormat="false" ht="15" hidden="false" customHeight="false" outlineLevel="0" collapsed="false">
      <c r="A70" s="4" t="s">
        <v>34</v>
      </c>
      <c r="B70" s="4" t="s">
        <v>9</v>
      </c>
      <c r="C70" s="4" t="s">
        <v>100</v>
      </c>
      <c r="D70" s="4" t="s">
        <v>163</v>
      </c>
      <c r="E70" s="4" t="s">
        <v>23</v>
      </c>
      <c r="F70" s="4" t="s">
        <v>130</v>
      </c>
      <c r="G70" s="5" t="n">
        <v>12221</v>
      </c>
      <c r="H70" s="5" t="n">
        <v>12221</v>
      </c>
      <c r="I70" s="5" t="n">
        <v>244.42</v>
      </c>
      <c r="J70" s="4" t="s">
        <v>131</v>
      </c>
    </row>
    <row r="71" customFormat="false" ht="15" hidden="false" customHeight="false" outlineLevel="0" collapsed="false">
      <c r="A71" s="4" t="s">
        <v>34</v>
      </c>
      <c r="B71" s="4" t="s">
        <v>8</v>
      </c>
      <c r="C71" s="4" t="s">
        <v>132</v>
      </c>
      <c r="D71" s="4" t="s">
        <v>116</v>
      </c>
      <c r="E71" s="4" t="s">
        <v>23</v>
      </c>
      <c r="F71" s="4" t="s">
        <v>117</v>
      </c>
      <c r="G71" s="5" t="n">
        <v>12807</v>
      </c>
      <c r="H71" s="5" t="n">
        <v>12807</v>
      </c>
      <c r="I71" s="5" t="n">
        <v>640.35</v>
      </c>
      <c r="J71" s="4"/>
    </row>
    <row r="72" customFormat="false" ht="15" hidden="false" customHeight="false" outlineLevel="0" collapsed="false">
      <c r="A72" s="4" t="s">
        <v>35</v>
      </c>
      <c r="B72" s="4" t="s">
        <v>8</v>
      </c>
      <c r="C72" s="4" t="s">
        <v>75</v>
      </c>
      <c r="D72" s="4" t="s">
        <v>133</v>
      </c>
      <c r="E72" s="4" t="s">
        <v>23</v>
      </c>
      <c r="F72" s="4" t="s">
        <v>93</v>
      </c>
      <c r="G72" s="5" t="n">
        <v>15189</v>
      </c>
      <c r="H72" s="5" t="n">
        <v>15189</v>
      </c>
      <c r="I72" s="5" t="n">
        <v>1367.01</v>
      </c>
      <c r="J72" s="4"/>
    </row>
    <row r="73" customFormat="false" ht="15" hidden="false" customHeight="false" outlineLevel="0" collapsed="false">
      <c r="A73" s="4" t="s">
        <v>36</v>
      </c>
      <c r="B73" s="4" t="s">
        <v>9</v>
      </c>
      <c r="C73" s="4" t="s">
        <v>100</v>
      </c>
      <c r="D73" s="4" t="s">
        <v>164</v>
      </c>
      <c r="E73" s="4" t="s">
        <v>16</v>
      </c>
      <c r="F73" s="4" t="s">
        <v>103</v>
      </c>
      <c r="G73" s="5" t="n">
        <v>25904</v>
      </c>
      <c r="H73" s="5" t="n">
        <v>25904</v>
      </c>
      <c r="I73" s="5" t="n">
        <v>518.08</v>
      </c>
      <c r="J73" s="4" t="s">
        <v>101</v>
      </c>
    </row>
    <row r="74" customFormat="false" ht="15" hidden="false" customHeight="false" outlineLevel="0" collapsed="false">
      <c r="A74" s="4" t="s">
        <v>36</v>
      </c>
      <c r="B74" s="4" t="s">
        <v>9</v>
      </c>
      <c r="C74" s="4" t="s">
        <v>100</v>
      </c>
      <c r="D74" s="4" t="s">
        <v>165</v>
      </c>
      <c r="E74" s="4" t="s">
        <v>16</v>
      </c>
      <c r="F74" s="4" t="s">
        <v>103</v>
      </c>
      <c r="G74" s="5" t="n">
        <v>10988</v>
      </c>
      <c r="H74" s="5" t="n">
        <v>10988</v>
      </c>
      <c r="I74" s="5" t="n">
        <v>219.76</v>
      </c>
      <c r="J74" s="4" t="s">
        <v>101</v>
      </c>
    </row>
    <row r="75" customFormat="false" ht="15" hidden="false" customHeight="false" outlineLevel="0" collapsed="false">
      <c r="A75" s="4" t="s">
        <v>36</v>
      </c>
      <c r="B75" s="4" t="s">
        <v>9</v>
      </c>
      <c r="C75" s="4" t="s">
        <v>100</v>
      </c>
      <c r="D75" s="4" t="s">
        <v>166</v>
      </c>
      <c r="E75" s="4" t="s">
        <v>16</v>
      </c>
      <c r="F75" s="4" t="s">
        <v>65</v>
      </c>
      <c r="G75" s="5" t="n">
        <v>20817</v>
      </c>
      <c r="H75" s="5" t="n">
        <v>20817</v>
      </c>
      <c r="I75" s="5" t="n">
        <v>416.34</v>
      </c>
      <c r="J75" s="4" t="s">
        <v>159</v>
      </c>
    </row>
    <row r="76" customFormat="false" ht="15" hidden="false" customHeight="false" outlineLevel="0" collapsed="false">
      <c r="A76" s="4" t="s">
        <v>36</v>
      </c>
      <c r="B76" s="4" t="s">
        <v>9</v>
      </c>
      <c r="C76" s="4" t="s">
        <v>100</v>
      </c>
      <c r="D76" s="4" t="s">
        <v>167</v>
      </c>
      <c r="E76" s="4" t="s">
        <v>16</v>
      </c>
      <c r="F76" s="4" t="s">
        <v>142</v>
      </c>
      <c r="G76" s="5" t="n">
        <v>7448</v>
      </c>
      <c r="H76" s="5" t="n">
        <v>7448</v>
      </c>
      <c r="I76" s="5" t="n">
        <v>148.96</v>
      </c>
      <c r="J76" s="4" t="s">
        <v>159</v>
      </c>
    </row>
    <row r="77" customFormat="false" ht="15" hidden="false" customHeight="false" outlineLevel="0" collapsed="false">
      <c r="A77" s="4" t="s">
        <v>37</v>
      </c>
      <c r="B77" s="4" t="s">
        <v>9</v>
      </c>
      <c r="C77" s="4" t="s">
        <v>100</v>
      </c>
      <c r="D77" s="4" t="s">
        <v>168</v>
      </c>
      <c r="E77" s="4" t="s">
        <v>21</v>
      </c>
      <c r="F77" s="4" t="s">
        <v>65</v>
      </c>
      <c r="G77" s="5" t="n">
        <v>15127</v>
      </c>
      <c r="H77" s="5" t="n">
        <v>15127</v>
      </c>
      <c r="I77" s="5" t="n">
        <v>302.54</v>
      </c>
      <c r="J77" s="4" t="s">
        <v>159</v>
      </c>
    </row>
    <row r="78" customFormat="false" ht="15" hidden="false" customHeight="false" outlineLevel="0" collapsed="false">
      <c r="A78" s="4" t="s">
        <v>37</v>
      </c>
      <c r="B78" s="4" t="s">
        <v>9</v>
      </c>
      <c r="C78" s="4" t="s">
        <v>100</v>
      </c>
      <c r="D78" s="4" t="s">
        <v>169</v>
      </c>
      <c r="E78" s="4" t="s">
        <v>21</v>
      </c>
      <c r="F78" s="4" t="s">
        <v>140</v>
      </c>
      <c r="G78" s="5" t="n">
        <v>9869</v>
      </c>
      <c r="H78" s="5" t="n">
        <v>9869</v>
      </c>
      <c r="I78" s="5" t="n">
        <v>197.38</v>
      </c>
      <c r="J78" s="4" t="s">
        <v>159</v>
      </c>
    </row>
    <row r="79" customFormat="false" ht="15" hidden="false" customHeight="false" outlineLevel="0" collapsed="false">
      <c r="A79" s="4" t="s">
        <v>38</v>
      </c>
      <c r="B79" s="4" t="s">
        <v>9</v>
      </c>
      <c r="C79" s="4" t="s">
        <v>100</v>
      </c>
      <c r="D79" s="4" t="s">
        <v>170</v>
      </c>
      <c r="E79" s="4" t="s">
        <v>21</v>
      </c>
      <c r="F79" s="4" t="s">
        <v>140</v>
      </c>
      <c r="G79" s="5" t="n">
        <v>25350</v>
      </c>
      <c r="H79" s="5" t="n">
        <v>25350</v>
      </c>
      <c r="I79" s="5" t="n">
        <v>507</v>
      </c>
      <c r="J79" s="4" t="s">
        <v>159</v>
      </c>
    </row>
    <row r="80" customFormat="false" ht="15" hidden="false" customHeight="false" outlineLevel="0" collapsed="false">
      <c r="A80" s="4" t="s">
        <v>38</v>
      </c>
      <c r="B80" s="4" t="s">
        <v>9</v>
      </c>
      <c r="C80" s="4" t="s">
        <v>100</v>
      </c>
      <c r="D80" s="4" t="s">
        <v>171</v>
      </c>
      <c r="E80" s="4" t="s">
        <v>21</v>
      </c>
      <c r="F80" s="4" t="s">
        <v>142</v>
      </c>
      <c r="G80" s="5" t="n">
        <v>31755</v>
      </c>
      <c r="H80" s="5" t="n">
        <v>31755</v>
      </c>
      <c r="I80" s="5" t="n">
        <v>635.1</v>
      </c>
      <c r="J80" s="4" t="s">
        <v>159</v>
      </c>
    </row>
    <row r="81" customFormat="false" ht="15" hidden="false" customHeight="false" outlineLevel="0" collapsed="false">
      <c r="A81" s="4" t="s">
        <v>39</v>
      </c>
      <c r="B81" s="4" t="s">
        <v>59</v>
      </c>
      <c r="C81" s="4" t="s">
        <v>7</v>
      </c>
      <c r="D81" s="4" t="s">
        <v>60</v>
      </c>
      <c r="E81" s="4" t="s">
        <v>16</v>
      </c>
      <c r="F81" s="4" t="s">
        <v>61</v>
      </c>
      <c r="G81" s="5" t="n">
        <v>4400</v>
      </c>
      <c r="H81" s="5" t="n">
        <v>4400</v>
      </c>
      <c r="I81" s="5" t="n">
        <v>-866.34</v>
      </c>
      <c r="J81" s="4" t="s">
        <v>62</v>
      </c>
    </row>
    <row r="82" customFormat="false" ht="15" hidden="false" customHeight="false" outlineLevel="0" collapsed="false">
      <c r="A82" s="4" t="s">
        <v>39</v>
      </c>
      <c r="B82" s="4" t="s">
        <v>9</v>
      </c>
      <c r="C82" s="4" t="s">
        <v>63</v>
      </c>
      <c r="D82" s="4" t="s">
        <v>172</v>
      </c>
      <c r="E82" s="4" t="s">
        <v>16</v>
      </c>
      <c r="F82" s="4" t="s">
        <v>173</v>
      </c>
      <c r="G82" s="5" t="n">
        <v>4760</v>
      </c>
      <c r="H82" s="5" t="n">
        <v>4760</v>
      </c>
      <c r="I82" s="5" t="n">
        <v>190.4</v>
      </c>
      <c r="J82" s="4" t="s">
        <v>66</v>
      </c>
    </row>
    <row r="83" customFormat="false" ht="15" hidden="false" customHeight="false" outlineLevel="0" collapsed="false">
      <c r="A83" s="4" t="s">
        <v>39</v>
      </c>
      <c r="B83" s="4" t="s">
        <v>9</v>
      </c>
      <c r="C83" s="4" t="s">
        <v>63</v>
      </c>
      <c r="D83" s="4" t="s">
        <v>174</v>
      </c>
      <c r="E83" s="4" t="s">
        <v>16</v>
      </c>
      <c r="F83" s="4" t="s">
        <v>65</v>
      </c>
      <c r="G83" s="5" t="n">
        <v>25357</v>
      </c>
      <c r="H83" s="5" t="n">
        <v>25357</v>
      </c>
      <c r="I83" s="5" t="n">
        <v>1014.28</v>
      </c>
      <c r="J83" s="4" t="s">
        <v>66</v>
      </c>
    </row>
    <row r="84" customFormat="false" ht="15" hidden="false" customHeight="false" outlineLevel="0" collapsed="false">
      <c r="A84" s="4" t="s">
        <v>39</v>
      </c>
      <c r="B84" s="4" t="s">
        <v>9</v>
      </c>
      <c r="C84" s="4" t="s">
        <v>63</v>
      </c>
      <c r="D84" s="4" t="s">
        <v>175</v>
      </c>
      <c r="E84" s="4" t="s">
        <v>16</v>
      </c>
      <c r="F84" s="4" t="s">
        <v>71</v>
      </c>
      <c r="G84" s="5" t="n">
        <v>16030</v>
      </c>
      <c r="H84" s="5" t="n">
        <v>16030</v>
      </c>
      <c r="I84" s="5" t="n">
        <v>641.2</v>
      </c>
      <c r="J84" s="4" t="s">
        <v>66</v>
      </c>
    </row>
    <row r="85" customFormat="false" ht="15" hidden="false" customHeight="false" outlineLevel="0" collapsed="false">
      <c r="A85" s="4" t="s">
        <v>40</v>
      </c>
      <c r="B85" s="4" t="s">
        <v>9</v>
      </c>
      <c r="C85" s="4" t="s">
        <v>100</v>
      </c>
      <c r="D85" s="4" t="s">
        <v>176</v>
      </c>
      <c r="E85" s="4" t="s">
        <v>21</v>
      </c>
      <c r="F85" s="4" t="s">
        <v>65</v>
      </c>
      <c r="G85" s="5" t="n">
        <v>20226</v>
      </c>
      <c r="H85" s="5" t="n">
        <v>20226</v>
      </c>
      <c r="I85" s="5" t="n">
        <v>404.52</v>
      </c>
      <c r="J85" s="4" t="s">
        <v>159</v>
      </c>
    </row>
    <row r="86" customFormat="false" ht="15" hidden="false" customHeight="false" outlineLevel="0" collapsed="false">
      <c r="A86" s="4" t="s">
        <v>40</v>
      </c>
      <c r="B86" s="4" t="s">
        <v>9</v>
      </c>
      <c r="C86" s="4" t="s">
        <v>100</v>
      </c>
      <c r="D86" s="4" t="s">
        <v>177</v>
      </c>
      <c r="E86" s="4" t="s">
        <v>21</v>
      </c>
      <c r="F86" s="4" t="s">
        <v>68</v>
      </c>
      <c r="G86" s="5" t="n">
        <v>24813</v>
      </c>
      <c r="H86" s="5" t="n">
        <v>24813</v>
      </c>
      <c r="I86" s="5" t="n">
        <v>496.26</v>
      </c>
      <c r="J86" s="4" t="s">
        <v>159</v>
      </c>
    </row>
    <row r="87" customFormat="false" ht="15" hidden="false" customHeight="false" outlineLevel="0" collapsed="false">
      <c r="A87" s="4" t="s">
        <v>41</v>
      </c>
      <c r="B87" s="4" t="s">
        <v>8</v>
      </c>
      <c r="C87" s="4" t="s">
        <v>132</v>
      </c>
      <c r="D87" s="4" t="s">
        <v>105</v>
      </c>
      <c r="E87" s="4" t="s">
        <v>23</v>
      </c>
      <c r="F87" s="4" t="s">
        <v>106</v>
      </c>
      <c r="G87" s="5" t="n">
        <v>12935</v>
      </c>
      <c r="H87" s="5" t="n">
        <v>12935</v>
      </c>
      <c r="I87" s="5" t="n">
        <v>646.75</v>
      </c>
      <c r="J87" s="4" t="s">
        <v>78</v>
      </c>
    </row>
    <row r="88" customFormat="false" ht="15" hidden="false" customHeight="false" outlineLevel="0" collapsed="false">
      <c r="A88" s="4" t="s">
        <v>42</v>
      </c>
      <c r="B88" s="4" t="s">
        <v>9</v>
      </c>
      <c r="C88" s="4" t="s">
        <v>100</v>
      </c>
      <c r="D88" s="4" t="s">
        <v>178</v>
      </c>
      <c r="E88" s="4" t="s">
        <v>23</v>
      </c>
      <c r="F88" s="4" t="s">
        <v>112</v>
      </c>
      <c r="G88" s="5" t="n">
        <v>13441</v>
      </c>
      <c r="H88" s="5" t="n">
        <v>13441</v>
      </c>
      <c r="I88" s="5" t="n">
        <v>268.82</v>
      </c>
      <c r="J88" s="4" t="s">
        <v>127</v>
      </c>
    </row>
    <row r="89" customFormat="false" ht="15" hidden="false" customHeight="false" outlineLevel="0" collapsed="false">
      <c r="A89" s="4" t="s">
        <v>42</v>
      </c>
      <c r="B89" s="4" t="s">
        <v>9</v>
      </c>
      <c r="C89" s="4" t="s">
        <v>100</v>
      </c>
      <c r="D89" s="4" t="s">
        <v>179</v>
      </c>
      <c r="E89" s="4" t="s">
        <v>23</v>
      </c>
      <c r="F89" s="4" t="s">
        <v>112</v>
      </c>
      <c r="G89" s="5" t="n">
        <v>6095</v>
      </c>
      <c r="H89" s="5" t="n">
        <v>6095</v>
      </c>
      <c r="I89" s="5" t="n">
        <v>121.9</v>
      </c>
      <c r="J89" s="4" t="s">
        <v>127</v>
      </c>
    </row>
    <row r="90" customFormat="false" ht="15" hidden="false" customHeight="false" outlineLevel="0" collapsed="false">
      <c r="A90" s="4" t="s">
        <v>43</v>
      </c>
      <c r="B90" s="4" t="s">
        <v>8</v>
      </c>
      <c r="C90" s="4" t="s">
        <v>75</v>
      </c>
      <c r="D90" s="4" t="s">
        <v>157</v>
      </c>
      <c r="E90" s="4" t="s">
        <v>16</v>
      </c>
      <c r="F90" s="4" t="s">
        <v>93</v>
      </c>
      <c r="G90" s="5" t="n">
        <v>3534</v>
      </c>
      <c r="H90" s="5" t="n">
        <v>3534</v>
      </c>
      <c r="I90" s="5" t="n">
        <v>318.06</v>
      </c>
      <c r="J90" s="4"/>
    </row>
    <row r="91" customFormat="false" ht="15" hidden="false" customHeight="false" outlineLevel="0" collapsed="false">
      <c r="A91" s="4" t="s">
        <v>44</v>
      </c>
      <c r="B91" s="4" t="s">
        <v>9</v>
      </c>
      <c r="C91" s="4" t="s">
        <v>100</v>
      </c>
      <c r="D91" s="4" t="s">
        <v>180</v>
      </c>
      <c r="E91" s="4" t="s">
        <v>23</v>
      </c>
      <c r="F91" s="4" t="s">
        <v>122</v>
      </c>
      <c r="G91" s="5" t="n">
        <v>17633</v>
      </c>
      <c r="H91" s="5" t="n">
        <v>17633</v>
      </c>
      <c r="I91" s="5" t="n">
        <v>352.66</v>
      </c>
      <c r="J91" s="4" t="s">
        <v>101</v>
      </c>
    </row>
    <row r="92" customFormat="false" ht="15" hidden="false" customHeight="false" outlineLevel="0" collapsed="false">
      <c r="A92" s="4" t="s">
        <v>44</v>
      </c>
      <c r="B92" s="4" t="s">
        <v>9</v>
      </c>
      <c r="C92" s="4" t="s">
        <v>100</v>
      </c>
      <c r="D92" s="4" t="s">
        <v>181</v>
      </c>
      <c r="E92" s="4" t="s">
        <v>23</v>
      </c>
      <c r="F92" s="4" t="s">
        <v>103</v>
      </c>
      <c r="G92" s="5" t="n">
        <v>7519</v>
      </c>
      <c r="H92" s="5" t="n">
        <v>7519</v>
      </c>
      <c r="I92" s="5" t="n">
        <v>150.38</v>
      </c>
      <c r="J92" s="4" t="s">
        <v>101</v>
      </c>
    </row>
    <row r="93" customFormat="false" ht="15" hidden="false" customHeight="false" outlineLevel="0" collapsed="false">
      <c r="A93" s="4" t="s">
        <v>46</v>
      </c>
      <c r="B93" s="4" t="s">
        <v>59</v>
      </c>
      <c r="C93" s="4" t="s">
        <v>182</v>
      </c>
      <c r="D93" s="4" t="s">
        <v>73</v>
      </c>
      <c r="E93" s="4" t="s">
        <v>21</v>
      </c>
      <c r="F93" s="4" t="s">
        <v>74</v>
      </c>
      <c r="G93" s="5" t="n">
        <v>21964</v>
      </c>
      <c r="H93" s="5" t="n">
        <v>0</v>
      </c>
      <c r="I93" s="5" t="n">
        <v>-878.56</v>
      </c>
      <c r="J93" s="4" t="s">
        <v>62</v>
      </c>
    </row>
    <row r="94" customFormat="false" ht="15" hidden="false" customHeight="false" outlineLevel="0" collapsed="false">
      <c r="A94" s="4" t="s">
        <v>46</v>
      </c>
      <c r="B94" s="4" t="s">
        <v>59</v>
      </c>
      <c r="C94" s="4" t="s">
        <v>6</v>
      </c>
      <c r="D94" s="4" t="s">
        <v>73</v>
      </c>
      <c r="E94" s="4" t="s">
        <v>21</v>
      </c>
      <c r="F94" s="4" t="s">
        <v>74</v>
      </c>
      <c r="G94" s="5" t="n">
        <v>21964</v>
      </c>
      <c r="H94" s="5" t="n">
        <v>0</v>
      </c>
      <c r="I94" s="5" t="n">
        <v>-1098.2</v>
      </c>
      <c r="J94" s="4" t="s">
        <v>62</v>
      </c>
    </row>
    <row r="95" customFormat="false" ht="15" hidden="false" customHeight="false" outlineLevel="0" collapsed="false">
      <c r="A95" s="11" t="s">
        <v>47</v>
      </c>
      <c r="I95" s="12" t="n">
        <f aca="false">SUM(I2:I94)</f>
        <v>66261.18</v>
      </c>
    </row>
  </sheetData>
  <autoFilter ref="A1:J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70"/>
    <col collapsed="false" customWidth="true" hidden="false" outlineLevel="0" max="4" min="4" style="0" width="13"/>
  </cols>
  <sheetData>
    <row r="1" customFormat="false" ht="15" hidden="false" customHeight="false" outlineLevel="0" collapsed="false">
      <c r="A1" s="3" t="s">
        <v>3</v>
      </c>
      <c r="B1" s="3" t="s">
        <v>183</v>
      </c>
      <c r="C1" s="3" t="s">
        <v>184</v>
      </c>
      <c r="D1" s="3" t="s">
        <v>57</v>
      </c>
    </row>
    <row r="2" customFormat="false" ht="15" hidden="false" customHeight="false" outlineLevel="0" collapsed="false">
      <c r="A2" s="4" t="s">
        <v>45</v>
      </c>
      <c r="B2" s="4" t="s">
        <v>185</v>
      </c>
      <c r="C2" s="4" t="s">
        <v>186</v>
      </c>
      <c r="D2" s="5" t="n">
        <v>-412.5</v>
      </c>
    </row>
    <row r="3" customFormat="false" ht="15" hidden="false" customHeight="false" outlineLevel="0" collapsed="false">
      <c r="A3" s="11" t="s">
        <v>47</v>
      </c>
      <c r="D3" s="12" t="n">
        <f aca="false">SUM(D2:D2)</f>
        <v>-412.5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20"/>
    <col collapsed="false" customWidth="true" hidden="false" outlineLevel="0" max="9" min="9" style="0" width="18"/>
    <col collapsed="false" customWidth="true" hidden="false" outlineLevel="0" max="10" min="10" style="0" width="13"/>
  </cols>
  <sheetData>
    <row r="1" customFormat="false" ht="15" hidden="false" customHeight="false" outlineLevel="0" collapsed="false">
      <c r="A1" s="3" t="s">
        <v>3</v>
      </c>
      <c r="B1" s="3" t="s">
        <v>53</v>
      </c>
      <c r="C1" s="3" t="s">
        <v>4</v>
      </c>
      <c r="D1" s="3" t="s">
        <v>54</v>
      </c>
      <c r="E1" s="3" t="s">
        <v>187</v>
      </c>
      <c r="F1" s="3" t="s">
        <v>184</v>
      </c>
      <c r="G1" s="3" t="s">
        <v>188</v>
      </c>
      <c r="H1" s="3" t="s">
        <v>189</v>
      </c>
      <c r="I1" s="3" t="s">
        <v>190</v>
      </c>
      <c r="J1" s="3" t="s">
        <v>191</v>
      </c>
    </row>
    <row r="2" customFormat="false" ht="15" hidden="false" customHeight="false" outlineLevel="0" collapsed="false">
      <c r="A2" s="4" t="s">
        <v>22</v>
      </c>
      <c r="B2" s="4" t="s">
        <v>192</v>
      </c>
      <c r="C2" s="4" t="s">
        <v>23</v>
      </c>
      <c r="D2" s="4" t="s">
        <v>193</v>
      </c>
      <c r="E2" s="4" t="s">
        <v>75</v>
      </c>
      <c r="F2" s="4" t="s">
        <v>194</v>
      </c>
      <c r="G2" s="4" t="s">
        <v>195</v>
      </c>
      <c r="H2" s="4" t="s">
        <v>196</v>
      </c>
      <c r="I2" s="4" t="s">
        <v>197</v>
      </c>
      <c r="J2" s="5" t="n">
        <v>3661.02</v>
      </c>
    </row>
    <row r="3" customFormat="false" ht="15" hidden="false" customHeight="false" outlineLevel="0" collapsed="false">
      <c r="A3" s="4" t="s">
        <v>44</v>
      </c>
      <c r="B3" s="4" t="s">
        <v>192</v>
      </c>
      <c r="C3" s="4" t="s">
        <v>23</v>
      </c>
      <c r="D3" s="4" t="s">
        <v>193</v>
      </c>
      <c r="E3" s="4" t="s">
        <v>132</v>
      </c>
      <c r="F3" s="4" t="s">
        <v>194</v>
      </c>
      <c r="G3" s="4" t="s">
        <v>195</v>
      </c>
      <c r="H3" s="4" t="s">
        <v>196</v>
      </c>
      <c r="I3" s="4" t="s">
        <v>197</v>
      </c>
      <c r="J3" s="5" t="n">
        <v>2033.9</v>
      </c>
    </row>
    <row r="4" customFormat="false" ht="15" hidden="false" customHeight="false" outlineLevel="0" collapsed="false">
      <c r="A4" s="4" t="s">
        <v>35</v>
      </c>
      <c r="B4" s="4" t="s">
        <v>198</v>
      </c>
      <c r="C4" s="4" t="s">
        <v>16</v>
      </c>
      <c r="D4" s="4" t="s">
        <v>199</v>
      </c>
      <c r="E4" s="4" t="s">
        <v>75</v>
      </c>
      <c r="F4" s="4" t="s">
        <v>194</v>
      </c>
      <c r="G4" s="4" t="s">
        <v>200</v>
      </c>
      <c r="H4" s="4" t="s">
        <v>196</v>
      </c>
      <c r="I4" s="4" t="s">
        <v>201</v>
      </c>
      <c r="J4" s="5" t="n">
        <v>1323.81</v>
      </c>
    </row>
    <row r="5" customFormat="false" ht="15" hidden="false" customHeight="false" outlineLevel="0" collapsed="false">
      <c r="A5" s="4" t="s">
        <v>36</v>
      </c>
      <c r="B5" s="4" t="s">
        <v>198</v>
      </c>
      <c r="C5" s="4" t="s">
        <v>16</v>
      </c>
      <c r="D5" s="4" t="s">
        <v>199</v>
      </c>
      <c r="E5" s="4" t="s">
        <v>132</v>
      </c>
      <c r="F5" s="4" t="s">
        <v>194</v>
      </c>
      <c r="G5" s="4" t="s">
        <v>200</v>
      </c>
      <c r="H5" s="4" t="s">
        <v>196</v>
      </c>
      <c r="I5" s="4" t="s">
        <v>201</v>
      </c>
      <c r="J5" s="5" t="n">
        <v>735.45</v>
      </c>
    </row>
    <row r="6" customFormat="false" ht="15" hidden="false" customHeight="false" outlineLevel="0" collapsed="false">
      <c r="A6" s="4" t="s">
        <v>26</v>
      </c>
      <c r="B6" s="4" t="s">
        <v>202</v>
      </c>
      <c r="C6" s="4" t="s">
        <v>23</v>
      </c>
      <c r="D6" s="4" t="s">
        <v>203</v>
      </c>
      <c r="E6" s="4" t="s">
        <v>132</v>
      </c>
      <c r="F6" s="4" t="s">
        <v>194</v>
      </c>
      <c r="G6" s="4" t="s">
        <v>149</v>
      </c>
      <c r="H6" s="4" t="s">
        <v>204</v>
      </c>
      <c r="I6" s="4" t="s">
        <v>205</v>
      </c>
      <c r="J6" s="5" t="n">
        <v>0</v>
      </c>
    </row>
    <row r="7" customFormat="false" ht="15" hidden="false" customHeight="false" outlineLevel="0" collapsed="false">
      <c r="A7" s="4" t="s">
        <v>22</v>
      </c>
      <c r="B7" s="4" t="s">
        <v>202</v>
      </c>
      <c r="C7" s="4" t="s">
        <v>23</v>
      </c>
      <c r="D7" s="4" t="s">
        <v>203</v>
      </c>
      <c r="E7" s="4" t="s">
        <v>75</v>
      </c>
      <c r="F7" s="4" t="s">
        <v>194</v>
      </c>
      <c r="G7" s="4" t="s">
        <v>149</v>
      </c>
      <c r="H7" s="4" t="s">
        <v>204</v>
      </c>
      <c r="I7" s="4" t="s">
        <v>205</v>
      </c>
      <c r="J7" s="5" t="n">
        <v>0</v>
      </c>
    </row>
    <row r="8" customFormat="false" ht="15" hidden="false" customHeight="false" outlineLevel="0" collapsed="false">
      <c r="A8" s="2" t="s">
        <v>206</v>
      </c>
      <c r="J8" s="12" t="n">
        <f aca="false">SUM(J2:J7)</f>
        <v>7754.18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6"/>
    <col collapsed="false" customWidth="true" hidden="false" outlineLevel="0" max="5" min="5" style="0" width="32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207</v>
      </c>
    </row>
    <row r="2" customFormat="false" ht="15" hidden="false" customHeight="false" outlineLevel="0" collapsed="false">
      <c r="A2" s="2" t="s">
        <v>208</v>
      </c>
    </row>
    <row r="4" customFormat="false" ht="15" hidden="false" customHeight="false" outlineLevel="0" collapsed="false">
      <c r="A4" s="3" t="s">
        <v>3</v>
      </c>
      <c r="B4" s="3" t="s">
        <v>209</v>
      </c>
      <c r="C4" s="3" t="s">
        <v>210</v>
      </c>
      <c r="D4" s="3" t="s">
        <v>211</v>
      </c>
      <c r="E4" s="3" t="s">
        <v>212</v>
      </c>
      <c r="F4" s="3" t="s">
        <v>213</v>
      </c>
    </row>
    <row r="5" customFormat="false" ht="15" hidden="false" customHeight="false" outlineLevel="0" collapsed="false">
      <c r="A5" s="4" t="s">
        <v>214</v>
      </c>
      <c r="B5" s="5" t="n">
        <v>3696.29</v>
      </c>
      <c r="C5" s="5" t="n">
        <v>77726.92</v>
      </c>
      <c r="D5" s="5" t="n">
        <v>3000</v>
      </c>
      <c r="E5" s="5" t="n">
        <v>-2372.21</v>
      </c>
      <c r="F5" s="5" t="n">
        <f aca="false">SUM(B5:E5)</f>
        <v>82051</v>
      </c>
    </row>
    <row r="6" customFormat="false" ht="15" hidden="false" customHeight="false" outlineLevel="0" collapsed="false">
      <c r="A6" s="4" t="s">
        <v>15</v>
      </c>
      <c r="B6" s="5" t="n">
        <v>6590.93</v>
      </c>
      <c r="C6" s="5" t="n">
        <v>19517.8</v>
      </c>
      <c r="D6" s="5" t="n">
        <v>500</v>
      </c>
      <c r="E6" s="5" t="n">
        <v>-457.23</v>
      </c>
      <c r="F6" s="5" t="n">
        <f aca="false">SUM(B6:E6)</f>
        <v>26151.5</v>
      </c>
    </row>
    <row r="7" customFormat="false" ht="15" hidden="false" customHeight="false" outlineLevel="0" collapsed="false">
      <c r="A7" s="4" t="s">
        <v>18</v>
      </c>
      <c r="B7" s="5" t="n">
        <v>1724.5</v>
      </c>
      <c r="C7" s="5" t="n">
        <v>0</v>
      </c>
      <c r="D7" s="5" t="n">
        <v>29500</v>
      </c>
      <c r="E7" s="5" t="n">
        <v>0</v>
      </c>
      <c r="F7" s="5" t="n">
        <f aca="false">SUM(B7:E7)</f>
        <v>31224.5</v>
      </c>
    </row>
    <row r="8" customFormat="false" ht="15" hidden="false" customHeight="false" outlineLevel="0" collapsed="false">
      <c r="A8" s="4" t="s">
        <v>20</v>
      </c>
      <c r="B8" s="5" t="n">
        <v>0</v>
      </c>
      <c r="C8" s="5" t="n">
        <v>16946.8</v>
      </c>
      <c r="D8" s="5" t="n">
        <v>-500</v>
      </c>
      <c r="E8" s="5" t="n">
        <v>-1415.44</v>
      </c>
      <c r="F8" s="5" t="n">
        <f aca="false">SUM(B8:E8)</f>
        <v>15031.36</v>
      </c>
    </row>
    <row r="9" customFormat="false" ht="15" hidden="false" customHeight="false" outlineLevel="0" collapsed="false">
      <c r="A9" s="4" t="s">
        <v>22</v>
      </c>
      <c r="B9" s="5" t="n">
        <v>49.41</v>
      </c>
      <c r="C9" s="5" t="n">
        <v>0</v>
      </c>
      <c r="D9" s="5" t="n">
        <v>0</v>
      </c>
      <c r="E9" s="5" t="n">
        <v>0</v>
      </c>
      <c r="F9" s="5" t="n">
        <f aca="false">SUM(B9:E9)</f>
        <v>49.41</v>
      </c>
    </row>
    <row r="10" customFormat="false" ht="15" hidden="false" customHeight="false" outlineLevel="0" collapsed="false">
      <c r="A10" s="4" t="s">
        <v>215</v>
      </c>
      <c r="B10" s="5" t="n">
        <v>7160.34</v>
      </c>
      <c r="C10" s="5" t="n">
        <v>0</v>
      </c>
      <c r="D10" s="5" t="n">
        <v>0</v>
      </c>
      <c r="E10" s="5" t="n">
        <v>-299.54</v>
      </c>
      <c r="F10" s="5" t="n">
        <f aca="false">SUM(B10:E10)</f>
        <v>6860.8</v>
      </c>
    </row>
    <row r="11" customFormat="false" ht="15" hidden="false" customHeight="false" outlineLevel="0" collapsed="false">
      <c r="A11" s="4" t="s">
        <v>25</v>
      </c>
      <c r="B11" s="5" t="n">
        <v>811.27</v>
      </c>
      <c r="C11" s="5" t="n">
        <v>0</v>
      </c>
      <c r="D11" s="5" t="n">
        <v>0</v>
      </c>
      <c r="E11" s="5" t="n">
        <v>0</v>
      </c>
      <c r="F11" s="5" t="n">
        <f aca="false">SUM(B11:E11)</f>
        <v>811.27</v>
      </c>
    </row>
    <row r="12" customFormat="false" ht="15" hidden="false" customHeight="false" outlineLevel="0" collapsed="false">
      <c r="A12" s="4" t="s">
        <v>216</v>
      </c>
      <c r="B12" s="5" t="n">
        <v>5687.68</v>
      </c>
      <c r="C12" s="5" t="n">
        <v>0</v>
      </c>
      <c r="D12" s="5" t="n">
        <v>0</v>
      </c>
      <c r="E12" s="5" t="n">
        <v>0</v>
      </c>
      <c r="F12" s="5" t="n">
        <f aca="false">SUM(B12:E12)</f>
        <v>5687.68</v>
      </c>
    </row>
    <row r="13" customFormat="false" ht="15" hidden="false" customHeight="false" outlineLevel="0" collapsed="false">
      <c r="A13" s="4" t="s">
        <v>28</v>
      </c>
      <c r="B13" s="5" t="n">
        <v>690.28</v>
      </c>
      <c r="C13" s="5" t="n">
        <v>0</v>
      </c>
      <c r="D13" s="5" t="n">
        <v>1500</v>
      </c>
      <c r="E13" s="5" t="n">
        <v>0</v>
      </c>
      <c r="F13" s="5" t="n">
        <f aca="false">SUM(B13:E13)</f>
        <v>2190.28</v>
      </c>
    </row>
    <row r="14" customFormat="false" ht="15" hidden="false" customHeight="false" outlineLevel="0" collapsed="false">
      <c r="A14" s="4" t="s">
        <v>217</v>
      </c>
      <c r="B14" s="5" t="n">
        <v>0</v>
      </c>
      <c r="C14" s="5" t="n">
        <v>0</v>
      </c>
      <c r="D14" s="5" t="n">
        <v>2500</v>
      </c>
      <c r="E14" s="5" t="n">
        <v>0</v>
      </c>
      <c r="F14" s="5" t="n">
        <f aca="false">SUM(B14:E14)</f>
        <v>2500</v>
      </c>
    </row>
    <row r="15" customFormat="false" ht="15" hidden="false" customHeight="false" outlineLevel="0" collapsed="false">
      <c r="A15" s="4" t="s">
        <v>32</v>
      </c>
      <c r="B15" s="5" t="n">
        <v>1042.02</v>
      </c>
      <c r="C15" s="5" t="n">
        <v>0</v>
      </c>
      <c r="D15" s="5" t="n">
        <v>0</v>
      </c>
      <c r="E15" s="5" t="n">
        <v>0</v>
      </c>
      <c r="F15" s="5" t="n">
        <f aca="false">SUM(B15:E15)</f>
        <v>1042.02</v>
      </c>
    </row>
    <row r="16" customFormat="false" ht="15" hidden="false" customHeight="false" outlineLevel="0" collapsed="false">
      <c r="A16" s="4" t="s">
        <v>218</v>
      </c>
      <c r="B16" s="5" t="n">
        <v>2283.57</v>
      </c>
      <c r="C16" s="5" t="n">
        <v>0</v>
      </c>
      <c r="D16" s="5" t="n">
        <v>0</v>
      </c>
      <c r="E16" s="5" t="n">
        <v>-122.01</v>
      </c>
      <c r="F16" s="5" t="n">
        <f aca="false">SUM(B16:E16)</f>
        <v>2161.56</v>
      </c>
    </row>
    <row r="17" customFormat="false" ht="15" hidden="false" customHeight="false" outlineLevel="0" collapsed="false">
      <c r="A17" s="4" t="s">
        <v>35</v>
      </c>
      <c r="B17" s="5" t="n">
        <v>238.78</v>
      </c>
      <c r="C17" s="5" t="n">
        <v>0</v>
      </c>
      <c r="D17" s="5" t="n">
        <v>0</v>
      </c>
      <c r="E17" s="5" t="n">
        <v>0</v>
      </c>
      <c r="F17" s="5" t="n">
        <f aca="false">SUM(B17:E17)</f>
        <v>238.78</v>
      </c>
    </row>
    <row r="18" customFormat="false" ht="15" hidden="false" customHeight="false" outlineLevel="0" collapsed="false">
      <c r="A18" s="4" t="s">
        <v>37</v>
      </c>
      <c r="B18" s="5" t="n">
        <v>685.39</v>
      </c>
      <c r="C18" s="5" t="n">
        <v>0</v>
      </c>
      <c r="D18" s="5" t="n">
        <v>0</v>
      </c>
      <c r="E18" s="5" t="n">
        <v>0</v>
      </c>
      <c r="F18" s="5" t="n">
        <f aca="false">SUM(B18:E18)</f>
        <v>685.39</v>
      </c>
    </row>
    <row r="19" customFormat="false" ht="15" hidden="false" customHeight="false" outlineLevel="0" collapsed="false">
      <c r="A19" s="4" t="s">
        <v>39</v>
      </c>
      <c r="B19" s="5" t="n">
        <v>119.12</v>
      </c>
      <c r="C19" s="5" t="n">
        <v>0</v>
      </c>
      <c r="D19" s="5" t="n">
        <v>0</v>
      </c>
      <c r="E19" s="5" t="n">
        <v>0</v>
      </c>
      <c r="F19" s="5" t="n">
        <f aca="false">SUM(B19:E19)</f>
        <v>119.12</v>
      </c>
    </row>
    <row r="20" customFormat="false" ht="15" hidden="false" customHeight="false" outlineLevel="0" collapsed="false">
      <c r="A20" s="4" t="s">
        <v>219</v>
      </c>
      <c r="B20" s="5" t="n">
        <v>0</v>
      </c>
      <c r="C20" s="5" t="n">
        <v>0</v>
      </c>
      <c r="D20" s="5" t="n">
        <v>1000</v>
      </c>
      <c r="E20" s="5" t="n">
        <v>0</v>
      </c>
      <c r="F20" s="5" t="n">
        <f aca="false">SUM(B20:E20)</f>
        <v>1000</v>
      </c>
    </row>
    <row r="21" customFormat="false" ht="15" hidden="false" customHeight="false" outlineLevel="0" collapsed="false">
      <c r="A21" s="4" t="s">
        <v>220</v>
      </c>
      <c r="B21" s="5" t="n">
        <v>578.61</v>
      </c>
      <c r="C21" s="5" t="n">
        <v>0</v>
      </c>
      <c r="D21" s="5" t="n">
        <v>0</v>
      </c>
      <c r="E21" s="5" t="n">
        <v>0</v>
      </c>
      <c r="F21" s="5" t="n">
        <f aca="false">SUM(B21:E21)</f>
        <v>578.61</v>
      </c>
    </row>
    <row r="22" customFormat="false" ht="15" hidden="false" customHeight="false" outlineLevel="0" collapsed="false">
      <c r="A22" s="4" t="s">
        <v>42</v>
      </c>
      <c r="B22" s="5" t="n">
        <v>142.43</v>
      </c>
      <c r="C22" s="5" t="n">
        <v>0</v>
      </c>
      <c r="D22" s="5" t="n">
        <v>0</v>
      </c>
      <c r="E22" s="5" t="n">
        <v>0</v>
      </c>
      <c r="F22" s="5" t="n">
        <f aca="false">SUM(B22:E22)</f>
        <v>142.43</v>
      </c>
    </row>
    <row r="23" customFormat="false" ht="15" hidden="false" customHeight="false" outlineLevel="0" collapsed="false">
      <c r="A23" s="4" t="s">
        <v>43</v>
      </c>
      <c r="B23" s="5" t="n">
        <v>192.87</v>
      </c>
      <c r="C23" s="5" t="n">
        <v>0</v>
      </c>
      <c r="D23" s="5" t="n">
        <v>0</v>
      </c>
      <c r="E23" s="5" t="n">
        <v>0</v>
      </c>
      <c r="F23" s="5" t="n">
        <f aca="false">SUM(B23:E23)</f>
        <v>192.87</v>
      </c>
    </row>
    <row r="24" customFormat="false" ht="15" hidden="false" customHeight="false" outlineLevel="0" collapsed="false">
      <c r="A24" s="4" t="s">
        <v>221</v>
      </c>
      <c r="B24" s="5" t="n">
        <v>148.23</v>
      </c>
      <c r="C24" s="5" t="n">
        <v>0</v>
      </c>
      <c r="D24" s="5" t="n">
        <v>0</v>
      </c>
      <c r="E24" s="5" t="n">
        <v>0</v>
      </c>
      <c r="F24" s="5" t="n">
        <f aca="false">SUM(B24:E24)</f>
        <v>148.23</v>
      </c>
    </row>
    <row r="25" customFormat="false" ht="15" hidden="false" customHeight="false" outlineLevel="0" collapsed="false">
      <c r="A25" s="7" t="s">
        <v>47</v>
      </c>
      <c r="B25" s="8" t="n">
        <f aca="false">SUM(B5:B24)</f>
        <v>31841.72</v>
      </c>
      <c r="C25" s="8" t="n">
        <f aca="false">SUM(C5:C24)</f>
        <v>114191.52</v>
      </c>
      <c r="D25" s="8" t="n">
        <f aca="false">SUM(D5:D24)</f>
        <v>37500</v>
      </c>
      <c r="E25" s="8" t="n">
        <f aca="false">SUM(E5:E24)</f>
        <v>-4666.43</v>
      </c>
      <c r="F25" s="8" t="n">
        <f aca="false">SUM(F5:F24)</f>
        <v>178866.81</v>
      </c>
    </row>
    <row r="27" customFormat="false" ht="15" hidden="false" customHeight="false" outlineLevel="0" collapsed="false">
      <c r="A27" s="11" t="s">
        <v>222</v>
      </c>
    </row>
    <row r="28" customFormat="false" ht="15" hidden="false" customHeight="false" outlineLevel="0" collapsed="false">
      <c r="A28" s="3" t="s">
        <v>3</v>
      </c>
      <c r="B28" s="3" t="s">
        <v>52</v>
      </c>
      <c r="C28" s="3" t="s">
        <v>53</v>
      </c>
      <c r="D28" s="3" t="s">
        <v>54</v>
      </c>
      <c r="E28" s="3" t="s">
        <v>57</v>
      </c>
    </row>
    <row r="29" customFormat="false" ht="15" hidden="false" customHeight="false" outlineLevel="0" collapsed="false">
      <c r="A29" s="4" t="s">
        <v>214</v>
      </c>
      <c r="B29" s="4" t="s">
        <v>223</v>
      </c>
      <c r="C29" s="4" t="s">
        <v>60</v>
      </c>
      <c r="D29" s="4" t="s">
        <v>61</v>
      </c>
      <c r="E29" s="5" t="n">
        <v>-385.04</v>
      </c>
    </row>
    <row r="30" customFormat="false" ht="15" hidden="false" customHeight="false" outlineLevel="0" collapsed="false">
      <c r="A30" s="4" t="s">
        <v>214</v>
      </c>
      <c r="B30" s="4" t="s">
        <v>224</v>
      </c>
      <c r="C30" s="4" t="s">
        <v>81</v>
      </c>
      <c r="D30" s="4" t="s">
        <v>82</v>
      </c>
      <c r="E30" s="5" t="n">
        <v>-100.66</v>
      </c>
    </row>
    <row r="31" customFormat="false" ht="15" hidden="false" customHeight="false" outlineLevel="0" collapsed="false">
      <c r="A31" s="4" t="s">
        <v>214</v>
      </c>
      <c r="B31" s="4" t="s">
        <v>225</v>
      </c>
      <c r="C31" s="4" t="s">
        <v>81</v>
      </c>
      <c r="D31" s="4" t="s">
        <v>82</v>
      </c>
      <c r="E31" s="5" t="n">
        <v>-100.66</v>
      </c>
    </row>
    <row r="32" customFormat="false" ht="15" hidden="false" customHeight="false" outlineLevel="0" collapsed="false">
      <c r="A32" s="4" t="s">
        <v>214</v>
      </c>
      <c r="B32" s="4" t="s">
        <v>226</v>
      </c>
      <c r="C32" s="4" t="s">
        <v>81</v>
      </c>
      <c r="D32" s="4" t="s">
        <v>82</v>
      </c>
      <c r="E32" s="5" t="n">
        <v>-536.88</v>
      </c>
    </row>
    <row r="33" customFormat="false" ht="15" hidden="false" customHeight="false" outlineLevel="0" collapsed="false">
      <c r="A33" s="4" t="s">
        <v>214</v>
      </c>
      <c r="B33" s="4" t="s">
        <v>69</v>
      </c>
      <c r="C33" s="4" t="s">
        <v>89</v>
      </c>
      <c r="D33" s="4" t="s">
        <v>90</v>
      </c>
      <c r="E33" s="5" t="n">
        <v>-205.68</v>
      </c>
    </row>
    <row r="34" customFormat="false" ht="15" hidden="false" customHeight="false" outlineLevel="0" collapsed="false">
      <c r="A34" s="4" t="s">
        <v>214</v>
      </c>
      <c r="B34" s="4" t="s">
        <v>227</v>
      </c>
      <c r="C34" s="4" t="s">
        <v>73</v>
      </c>
      <c r="D34" s="4" t="s">
        <v>74</v>
      </c>
      <c r="E34" s="5" t="n">
        <v>-164.73</v>
      </c>
    </row>
    <row r="35" customFormat="false" ht="15" hidden="false" customHeight="false" outlineLevel="0" collapsed="false">
      <c r="A35" s="4" t="s">
        <v>214</v>
      </c>
      <c r="B35" s="4" t="s">
        <v>226</v>
      </c>
      <c r="C35" s="4" t="s">
        <v>73</v>
      </c>
      <c r="D35" s="4" t="s">
        <v>74</v>
      </c>
      <c r="E35" s="5" t="n">
        <v>-878.56</v>
      </c>
    </row>
    <row r="36" customFormat="false" ht="15" hidden="false" customHeight="false" outlineLevel="0" collapsed="false">
      <c r="A36" s="4" t="s">
        <v>15</v>
      </c>
      <c r="B36" s="4" t="s">
        <v>228</v>
      </c>
      <c r="C36" s="4" t="s">
        <v>60</v>
      </c>
      <c r="D36" s="4" t="s">
        <v>61</v>
      </c>
      <c r="E36" s="5" t="n">
        <v>-72.19</v>
      </c>
    </row>
    <row r="37" customFormat="false" ht="15" hidden="false" customHeight="false" outlineLevel="0" collapsed="false">
      <c r="A37" s="4" t="s">
        <v>15</v>
      </c>
      <c r="B37" s="4" t="s">
        <v>223</v>
      </c>
      <c r="C37" s="4" t="s">
        <v>60</v>
      </c>
      <c r="D37" s="4" t="s">
        <v>61</v>
      </c>
      <c r="E37" s="5" t="n">
        <v>-385.04</v>
      </c>
    </row>
    <row r="38" customFormat="false" ht="15" hidden="false" customHeight="false" outlineLevel="0" collapsed="false">
      <c r="A38" s="4" t="s">
        <v>20</v>
      </c>
      <c r="B38" s="4" t="s">
        <v>226</v>
      </c>
      <c r="C38" s="4" t="s">
        <v>81</v>
      </c>
      <c r="D38" s="4" t="s">
        <v>82</v>
      </c>
      <c r="E38" s="5" t="n">
        <v>-536.88</v>
      </c>
    </row>
    <row r="39" customFormat="false" ht="15" hidden="false" customHeight="false" outlineLevel="0" collapsed="false">
      <c r="A39" s="4" t="s">
        <v>20</v>
      </c>
      <c r="B39" s="4" t="s">
        <v>226</v>
      </c>
      <c r="C39" s="4" t="s">
        <v>73</v>
      </c>
      <c r="D39" s="4" t="s">
        <v>74</v>
      </c>
      <c r="E39" s="5" t="n">
        <v>-878.56</v>
      </c>
    </row>
    <row r="40" customFormat="false" ht="15" hidden="false" customHeight="false" outlineLevel="0" collapsed="false">
      <c r="A40" s="4" t="s">
        <v>215</v>
      </c>
      <c r="B40" s="4" t="s">
        <v>229</v>
      </c>
      <c r="C40" s="4" t="s">
        <v>60</v>
      </c>
      <c r="D40" s="4" t="s">
        <v>61</v>
      </c>
      <c r="E40" s="5" t="n">
        <v>-24.06</v>
      </c>
    </row>
    <row r="41" customFormat="false" ht="15" hidden="false" customHeight="false" outlineLevel="0" collapsed="false">
      <c r="A41" s="4" t="s">
        <v>215</v>
      </c>
      <c r="B41" s="4" t="s">
        <v>230</v>
      </c>
      <c r="C41" s="4" t="s">
        <v>60</v>
      </c>
      <c r="D41" s="4" t="s">
        <v>61</v>
      </c>
      <c r="E41" s="5" t="n">
        <v>-72.19</v>
      </c>
    </row>
    <row r="42" customFormat="false" ht="15" hidden="false" customHeight="false" outlineLevel="0" collapsed="false">
      <c r="A42" s="4" t="s">
        <v>215</v>
      </c>
      <c r="B42" s="4" t="s">
        <v>231</v>
      </c>
      <c r="C42" s="4" t="s">
        <v>89</v>
      </c>
      <c r="D42" s="4" t="s">
        <v>90</v>
      </c>
      <c r="E42" s="5" t="n">
        <v>-38.56</v>
      </c>
    </row>
    <row r="43" customFormat="false" ht="15" hidden="false" customHeight="false" outlineLevel="0" collapsed="false">
      <c r="A43" s="4" t="s">
        <v>215</v>
      </c>
      <c r="B43" s="4" t="s">
        <v>232</v>
      </c>
      <c r="C43" s="4" t="s">
        <v>73</v>
      </c>
      <c r="D43" s="4" t="s">
        <v>74</v>
      </c>
      <c r="E43" s="5" t="n">
        <v>-164.73</v>
      </c>
    </row>
    <row r="44" customFormat="false" ht="15" hidden="false" customHeight="false" outlineLevel="0" collapsed="false">
      <c r="A44" s="4" t="s">
        <v>218</v>
      </c>
      <c r="B44" s="4" t="s">
        <v>233</v>
      </c>
      <c r="C44" s="4" t="s">
        <v>81</v>
      </c>
      <c r="D44" s="4" t="s">
        <v>82</v>
      </c>
      <c r="E44" s="5" t="n">
        <v>-33.55</v>
      </c>
    </row>
    <row r="45" customFormat="false" ht="15" hidden="false" customHeight="false" outlineLevel="0" collapsed="false">
      <c r="A45" s="4" t="s">
        <v>218</v>
      </c>
      <c r="B45" s="4" t="s">
        <v>234</v>
      </c>
      <c r="C45" s="4" t="s">
        <v>81</v>
      </c>
      <c r="D45" s="4" t="s">
        <v>82</v>
      </c>
      <c r="E45" s="5" t="n">
        <v>-33.55</v>
      </c>
    </row>
    <row r="46" customFormat="false" ht="15" hidden="false" customHeight="false" outlineLevel="0" collapsed="false">
      <c r="A46" s="4" t="s">
        <v>218</v>
      </c>
      <c r="B46" s="4" t="s">
        <v>235</v>
      </c>
      <c r="C46" s="4" t="s">
        <v>73</v>
      </c>
      <c r="D46" s="4" t="s">
        <v>74</v>
      </c>
      <c r="E46" s="5" t="n">
        <v>-54.91</v>
      </c>
    </row>
    <row r="48" customFormat="false" ht="15" hidden="false" customHeight="false" outlineLevel="0" collapsed="false">
      <c r="A48" s="11" t="s">
        <v>236</v>
      </c>
    </row>
    <row r="49" customFormat="false" ht="15" hidden="false" customHeight="false" outlineLevel="0" collapsed="false">
      <c r="A49" s="3" t="s">
        <v>3</v>
      </c>
      <c r="B49" s="3" t="s">
        <v>183</v>
      </c>
      <c r="C49" s="3" t="s">
        <v>184</v>
      </c>
      <c r="D49" s="3" t="s">
        <v>57</v>
      </c>
    </row>
    <row r="50" customFormat="false" ht="15" hidden="false" customHeight="false" outlineLevel="0" collapsed="false">
      <c r="A50" s="4" t="s">
        <v>219</v>
      </c>
      <c r="B50" s="4" t="s">
        <v>237</v>
      </c>
      <c r="C50" s="4" t="s">
        <v>238</v>
      </c>
      <c r="D50" s="5" t="n">
        <v>1000</v>
      </c>
    </row>
    <row r="51" customFormat="false" ht="15" hidden="false" customHeight="false" outlineLevel="0" collapsed="false">
      <c r="A51" s="4" t="s">
        <v>217</v>
      </c>
      <c r="B51" s="4" t="s">
        <v>237</v>
      </c>
      <c r="C51" s="4" t="s">
        <v>239</v>
      </c>
      <c r="D51" s="5" t="n">
        <v>2500</v>
      </c>
    </row>
    <row r="52" customFormat="false" ht="15" hidden="false" customHeight="false" outlineLevel="0" collapsed="false">
      <c r="A52" s="4" t="s">
        <v>15</v>
      </c>
      <c r="B52" s="4" t="s">
        <v>237</v>
      </c>
      <c r="C52" s="4" t="s">
        <v>240</v>
      </c>
      <c r="D52" s="5" t="n">
        <v>500</v>
      </c>
    </row>
    <row r="53" customFormat="false" ht="15" hidden="false" customHeight="false" outlineLevel="0" collapsed="false">
      <c r="A53" s="4" t="s">
        <v>214</v>
      </c>
      <c r="B53" s="4" t="s">
        <v>237</v>
      </c>
      <c r="C53" s="4" t="s">
        <v>241</v>
      </c>
      <c r="D53" s="5" t="n">
        <v>3000</v>
      </c>
    </row>
    <row r="54" customFormat="false" ht="15" hidden="false" customHeight="false" outlineLevel="0" collapsed="false">
      <c r="A54" s="4" t="s">
        <v>20</v>
      </c>
      <c r="B54" s="4" t="s">
        <v>237</v>
      </c>
      <c r="C54" s="4" t="s">
        <v>242</v>
      </c>
      <c r="D54" s="5" t="n">
        <v>-500</v>
      </c>
    </row>
    <row r="55" customFormat="false" ht="15" hidden="false" customHeight="false" outlineLevel="0" collapsed="false">
      <c r="A55" s="4" t="s">
        <v>18</v>
      </c>
      <c r="B55" s="4" t="s">
        <v>237</v>
      </c>
      <c r="C55" s="4" t="s">
        <v>243</v>
      </c>
      <c r="D55" s="5" t="n">
        <v>29500</v>
      </c>
    </row>
    <row r="56" customFormat="false" ht="15" hidden="false" customHeight="false" outlineLevel="0" collapsed="false">
      <c r="A56" s="4" t="s">
        <v>28</v>
      </c>
      <c r="B56" s="4" t="s">
        <v>237</v>
      </c>
      <c r="C56" s="4" t="s">
        <v>244</v>
      </c>
      <c r="D56" s="5" t="n">
        <v>1500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6" min="5" style="0" width="15"/>
    <col collapsed="false" customWidth="true" hidden="false" outlineLevel="0" max="7" min="7" style="0" width="13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15</v>
      </c>
      <c r="B1" s="11" t="s">
        <v>245</v>
      </c>
    </row>
    <row r="2" customFormat="false" ht="15" hidden="false" customHeight="false" outlineLevel="0" collapsed="false">
      <c r="A2" s="2" t="s">
        <v>246</v>
      </c>
    </row>
    <row r="4" customFormat="false" ht="15" hidden="false" customHeight="false" outlineLevel="0" collapsed="false">
      <c r="A4" s="3" t="s">
        <v>53</v>
      </c>
      <c r="B4" s="3" t="s">
        <v>4</v>
      </c>
      <c r="C4" s="3" t="s">
        <v>54</v>
      </c>
      <c r="D4" s="3" t="s">
        <v>52</v>
      </c>
      <c r="E4" s="3" t="s">
        <v>55</v>
      </c>
      <c r="F4" s="3" t="s">
        <v>56</v>
      </c>
      <c r="G4" s="3" t="s">
        <v>57</v>
      </c>
      <c r="H4" s="3" t="s">
        <v>58</v>
      </c>
    </row>
    <row r="5" customFormat="false" ht="15" hidden="false" customHeight="false" outlineLevel="0" collapsed="false">
      <c r="A5" s="4" t="s">
        <v>60</v>
      </c>
      <c r="B5" s="4" t="s">
        <v>16</v>
      </c>
      <c r="C5" s="4" t="s">
        <v>61</v>
      </c>
      <c r="D5" s="4" t="s">
        <v>247</v>
      </c>
      <c r="E5" s="5" t="n">
        <v>4400</v>
      </c>
      <c r="F5" s="5" t="n">
        <v>4400</v>
      </c>
      <c r="G5" s="5" t="n">
        <v>-481.3</v>
      </c>
      <c r="H5" s="4" t="s">
        <v>62</v>
      </c>
    </row>
    <row r="6" customFormat="false" ht="15" hidden="false" customHeight="false" outlineLevel="0" collapsed="false">
      <c r="A6" s="4" t="s">
        <v>64</v>
      </c>
      <c r="B6" s="4" t="s">
        <v>16</v>
      </c>
      <c r="C6" s="4" t="s">
        <v>65</v>
      </c>
      <c r="D6" s="4" t="s">
        <v>248</v>
      </c>
      <c r="E6" s="5" t="n">
        <v>20821</v>
      </c>
      <c r="F6" s="5" t="n">
        <v>20821</v>
      </c>
      <c r="G6" s="5" t="n">
        <v>832.84</v>
      </c>
      <c r="H6" s="4" t="s">
        <v>66</v>
      </c>
    </row>
    <row r="7" customFormat="false" ht="15" hidden="false" customHeight="false" outlineLevel="0" collapsed="false">
      <c r="A7" s="4" t="s">
        <v>67</v>
      </c>
      <c r="B7" s="4" t="s">
        <v>16</v>
      </c>
      <c r="C7" s="4" t="s">
        <v>68</v>
      </c>
      <c r="D7" s="4" t="s">
        <v>248</v>
      </c>
      <c r="E7" s="5" t="n">
        <v>12757</v>
      </c>
      <c r="F7" s="5" t="n">
        <v>12757</v>
      </c>
      <c r="G7" s="5" t="n">
        <v>510.28</v>
      </c>
      <c r="H7" s="4" t="s">
        <v>66</v>
      </c>
    </row>
    <row r="8" customFormat="false" ht="15" hidden="false" customHeight="false" outlineLevel="0" collapsed="false">
      <c r="A8" s="4" t="s">
        <v>70</v>
      </c>
      <c r="B8" s="4" t="s">
        <v>16</v>
      </c>
      <c r="C8" s="4" t="s">
        <v>71</v>
      </c>
      <c r="D8" s="4" t="s">
        <v>249</v>
      </c>
      <c r="E8" s="5" t="n">
        <v>43926</v>
      </c>
      <c r="F8" s="5" t="n">
        <v>43926</v>
      </c>
      <c r="G8" s="5" t="n">
        <v>6149.64</v>
      </c>
      <c r="H8" s="4" t="s">
        <v>72</v>
      </c>
    </row>
    <row r="9" customFormat="false" ht="15" hidden="false" customHeight="false" outlineLevel="0" collapsed="false">
      <c r="A9" s="4" t="s">
        <v>70</v>
      </c>
      <c r="B9" s="4" t="s">
        <v>16</v>
      </c>
      <c r="C9" s="4" t="s">
        <v>71</v>
      </c>
      <c r="D9" s="4" t="s">
        <v>248</v>
      </c>
      <c r="E9" s="5" t="n">
        <v>43926</v>
      </c>
      <c r="F9" s="5" t="n">
        <v>43926</v>
      </c>
      <c r="G9" s="5" t="n">
        <v>1757.04</v>
      </c>
      <c r="H9" s="4" t="s">
        <v>66</v>
      </c>
    </row>
    <row r="10" customFormat="false" ht="15" hidden="false" customHeight="false" outlineLevel="0" collapsed="false">
      <c r="A10" s="7" t="s">
        <v>250</v>
      </c>
      <c r="B10" s="6"/>
      <c r="C10" s="6"/>
      <c r="D10" s="6"/>
      <c r="E10" s="6"/>
      <c r="F10" s="6"/>
      <c r="G10" s="8" t="n">
        <f aca="false">SUM(G5:G9)</f>
        <v>8768.5</v>
      </c>
      <c r="H10" s="6"/>
    </row>
    <row r="11" customFormat="false" ht="15" hidden="false" customHeight="false" outlineLevel="0" collapsed="false">
      <c r="A11" s="4" t="s">
        <v>11</v>
      </c>
      <c r="G11" s="5" t="n">
        <f aca="false">SUMIFS(Adjustments!$D:$D,Adjustments!$A:$A,"Carl Crosland")</f>
        <v>0</v>
      </c>
    </row>
    <row r="12" customFormat="false" ht="15" hidden="false" customHeight="false" outlineLevel="0" collapsed="false">
      <c r="A12" s="11" t="s">
        <v>251</v>
      </c>
      <c r="G12" s="13" t="n">
        <f aca="false">G10+G11</f>
        <v>8768.5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6" min="5" style="0" width="15"/>
    <col collapsed="false" customWidth="true" hidden="false" outlineLevel="0" max="7" min="7" style="0" width="13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18</v>
      </c>
      <c r="B1" s="11" t="s">
        <v>245</v>
      </c>
    </row>
    <row r="2" customFormat="false" ht="15" hidden="false" customHeight="false" outlineLevel="0" collapsed="false">
      <c r="A2" s="2" t="s">
        <v>252</v>
      </c>
    </row>
    <row r="4" customFormat="false" ht="15" hidden="false" customHeight="false" outlineLevel="0" collapsed="false">
      <c r="A4" s="3" t="s">
        <v>53</v>
      </c>
      <c r="B4" s="3" t="s">
        <v>4</v>
      </c>
      <c r="C4" s="3" t="s">
        <v>54</v>
      </c>
      <c r="D4" s="3" t="s">
        <v>52</v>
      </c>
      <c r="E4" s="3" t="s">
        <v>55</v>
      </c>
      <c r="F4" s="3" t="s">
        <v>56</v>
      </c>
      <c r="G4" s="3" t="s">
        <v>57</v>
      </c>
      <c r="H4" s="3" t="s">
        <v>58</v>
      </c>
    </row>
    <row r="5" customFormat="false" ht="15" hidden="false" customHeight="false" outlineLevel="0" collapsed="false">
      <c r="A5" s="4" t="s">
        <v>73</v>
      </c>
      <c r="B5" s="4" t="s">
        <v>21</v>
      </c>
      <c r="C5" s="4" t="s">
        <v>74</v>
      </c>
      <c r="D5" s="4" t="s">
        <v>253</v>
      </c>
      <c r="E5" s="5" t="n">
        <v>21964</v>
      </c>
      <c r="F5" s="5" t="n">
        <v>0</v>
      </c>
      <c r="G5" s="5" t="n">
        <v>-1976.76</v>
      </c>
      <c r="H5" s="4" t="s">
        <v>62</v>
      </c>
    </row>
    <row r="6" customFormat="false" ht="15" hidden="false" customHeight="false" outlineLevel="0" collapsed="false">
      <c r="A6" s="4" t="s">
        <v>76</v>
      </c>
      <c r="B6" s="4" t="s">
        <v>21</v>
      </c>
      <c r="C6" s="4" t="s">
        <v>77</v>
      </c>
      <c r="D6" s="4" t="s">
        <v>254</v>
      </c>
      <c r="E6" s="5" t="n">
        <v>17811</v>
      </c>
      <c r="F6" s="5" t="n">
        <v>17811</v>
      </c>
      <c r="G6" s="5" t="n">
        <v>1602.99</v>
      </c>
      <c r="H6" s="4" t="s">
        <v>78</v>
      </c>
    </row>
    <row r="7" customFormat="false" ht="15" hidden="false" customHeight="false" outlineLevel="0" collapsed="false">
      <c r="A7" s="4" t="s">
        <v>79</v>
      </c>
      <c r="B7" s="4" t="s">
        <v>21</v>
      </c>
      <c r="C7" s="4" t="s">
        <v>80</v>
      </c>
      <c r="D7" s="4" t="s">
        <v>254</v>
      </c>
      <c r="E7" s="5" t="n">
        <v>27179</v>
      </c>
      <c r="F7" s="5" t="n">
        <v>27179</v>
      </c>
      <c r="G7" s="5" t="n">
        <v>2446.11</v>
      </c>
      <c r="H7" s="4"/>
    </row>
    <row r="8" customFormat="false" ht="15" hidden="false" customHeight="false" outlineLevel="0" collapsed="false">
      <c r="A8" s="7" t="s">
        <v>250</v>
      </c>
      <c r="B8" s="6"/>
      <c r="C8" s="6"/>
      <c r="D8" s="6"/>
      <c r="E8" s="6"/>
      <c r="F8" s="6"/>
      <c r="G8" s="8" t="n">
        <f aca="false">SUM(G5:G7)</f>
        <v>2072.34</v>
      </c>
      <c r="H8" s="6"/>
    </row>
    <row r="9" customFormat="false" ht="15" hidden="false" customHeight="false" outlineLevel="0" collapsed="false">
      <c r="A9" s="4" t="s">
        <v>11</v>
      </c>
      <c r="G9" s="5" t="n">
        <f aca="false">SUMIFS(Adjustments!$D:$D,Adjustments!$A:$A,"Nathan Lewis")</f>
        <v>0</v>
      </c>
    </row>
    <row r="10" customFormat="false" ht="15" hidden="false" customHeight="false" outlineLevel="0" collapsed="false">
      <c r="A10" s="11" t="s">
        <v>251</v>
      </c>
      <c r="G10" s="13" t="n">
        <f aca="false">G8+G9</f>
        <v>2072.34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6" min="5" style="0" width="15"/>
    <col collapsed="false" customWidth="true" hidden="false" outlineLevel="0" max="7" min="7" style="0" width="13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20</v>
      </c>
      <c r="B1" s="11" t="s">
        <v>245</v>
      </c>
    </row>
    <row r="2" customFormat="false" ht="15" hidden="false" customHeight="false" outlineLevel="0" collapsed="false">
      <c r="A2" s="2" t="s">
        <v>255</v>
      </c>
    </row>
    <row r="4" customFormat="false" ht="15" hidden="false" customHeight="false" outlineLevel="0" collapsed="false">
      <c r="A4" s="3" t="s">
        <v>53</v>
      </c>
      <c r="B4" s="3" t="s">
        <v>4</v>
      </c>
      <c r="C4" s="3" t="s">
        <v>54</v>
      </c>
      <c r="D4" s="3" t="s">
        <v>52</v>
      </c>
      <c r="E4" s="3" t="s">
        <v>55</v>
      </c>
      <c r="F4" s="3" t="s">
        <v>56</v>
      </c>
      <c r="G4" s="3" t="s">
        <v>57</v>
      </c>
      <c r="H4" s="3" t="s">
        <v>58</v>
      </c>
    </row>
    <row r="5" customFormat="false" ht="15" hidden="false" customHeight="false" outlineLevel="0" collapsed="false">
      <c r="A5" s="4" t="s">
        <v>81</v>
      </c>
      <c r="B5" s="4" t="s">
        <v>21</v>
      </c>
      <c r="C5" s="4" t="s">
        <v>82</v>
      </c>
      <c r="D5" s="4" t="s">
        <v>253</v>
      </c>
      <c r="E5" s="5" t="n">
        <v>13422</v>
      </c>
      <c r="F5" s="5" t="n">
        <v>0</v>
      </c>
      <c r="G5" s="5" t="n">
        <v>-1207.98</v>
      </c>
      <c r="H5" s="4" t="s">
        <v>62</v>
      </c>
    </row>
    <row r="6" customFormat="false" ht="15" hidden="false" customHeight="false" outlineLevel="0" collapsed="false">
      <c r="A6" s="4" t="s">
        <v>83</v>
      </c>
      <c r="B6" s="4" t="s">
        <v>21</v>
      </c>
      <c r="C6" s="4" t="s">
        <v>84</v>
      </c>
      <c r="D6" s="4" t="s">
        <v>254</v>
      </c>
      <c r="E6" s="5" t="n">
        <v>15902</v>
      </c>
      <c r="F6" s="5" t="n">
        <v>15902</v>
      </c>
      <c r="G6" s="5" t="n">
        <v>1431.18</v>
      </c>
      <c r="H6" s="4" t="s">
        <v>78</v>
      </c>
    </row>
    <row r="7" customFormat="false" ht="15" hidden="false" customHeight="false" outlineLevel="0" collapsed="false">
      <c r="A7" s="4" t="s">
        <v>85</v>
      </c>
      <c r="B7" s="4" t="s">
        <v>21</v>
      </c>
      <c r="C7" s="4" t="s">
        <v>86</v>
      </c>
      <c r="D7" s="4" t="s">
        <v>254</v>
      </c>
      <c r="E7" s="5" t="n">
        <v>14796</v>
      </c>
      <c r="F7" s="5" t="n">
        <v>14796</v>
      </c>
      <c r="G7" s="5" t="n">
        <v>1331.64</v>
      </c>
      <c r="H7" s="4"/>
    </row>
    <row r="8" customFormat="false" ht="15" hidden="false" customHeight="false" outlineLevel="0" collapsed="false">
      <c r="A8" s="4" t="s">
        <v>87</v>
      </c>
      <c r="B8" s="4" t="s">
        <v>21</v>
      </c>
      <c r="C8" s="4" t="s">
        <v>88</v>
      </c>
      <c r="D8" s="4" t="s">
        <v>254</v>
      </c>
      <c r="E8" s="5" t="n">
        <v>23395</v>
      </c>
      <c r="F8" s="5" t="n">
        <v>23395</v>
      </c>
      <c r="G8" s="5" t="n">
        <v>2105.55</v>
      </c>
      <c r="H8" s="4"/>
    </row>
    <row r="9" customFormat="false" ht="15" hidden="false" customHeight="false" outlineLevel="0" collapsed="false">
      <c r="A9" s="7" t="s">
        <v>250</v>
      </c>
      <c r="B9" s="6"/>
      <c r="C9" s="6"/>
      <c r="D9" s="6"/>
      <c r="E9" s="6"/>
      <c r="F9" s="6"/>
      <c r="G9" s="8" t="n">
        <f aca="false">SUM(G5:G8)</f>
        <v>3660.39</v>
      </c>
      <c r="H9" s="6"/>
    </row>
    <row r="10" customFormat="false" ht="15" hidden="false" customHeight="false" outlineLevel="0" collapsed="false">
      <c r="A10" s="4" t="s">
        <v>11</v>
      </c>
      <c r="G10" s="5" t="n">
        <f aca="false">SUMIFS(Adjustments!$D:$D,Adjustments!$A:$A,"Jordan Naylor")</f>
        <v>0</v>
      </c>
    </row>
    <row r="11" customFormat="false" ht="15" hidden="false" customHeight="false" outlineLevel="0" collapsed="false">
      <c r="A11" s="11" t="s">
        <v>251</v>
      </c>
      <c r="G11" s="13" t="n">
        <f aca="false">G9+G10</f>
        <v>3660.39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6" min="5" style="0" width="15"/>
    <col collapsed="false" customWidth="true" hidden="false" outlineLevel="0" max="7" min="7" style="0" width="13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22</v>
      </c>
      <c r="B1" s="11" t="s">
        <v>245</v>
      </c>
    </row>
    <row r="2" customFormat="false" ht="15" hidden="false" customHeight="false" outlineLevel="0" collapsed="false">
      <c r="A2" s="2" t="s">
        <v>256</v>
      </c>
    </row>
    <row r="4" customFormat="false" ht="15" hidden="false" customHeight="false" outlineLevel="0" collapsed="false">
      <c r="A4" s="3" t="s">
        <v>53</v>
      </c>
      <c r="B4" s="3" t="s">
        <v>4</v>
      </c>
      <c r="C4" s="3" t="s">
        <v>54</v>
      </c>
      <c r="D4" s="3" t="s">
        <v>52</v>
      </c>
      <c r="E4" s="3" t="s">
        <v>55</v>
      </c>
      <c r="F4" s="3" t="s">
        <v>56</v>
      </c>
      <c r="G4" s="3" t="s">
        <v>57</v>
      </c>
      <c r="H4" s="3" t="s">
        <v>58</v>
      </c>
    </row>
    <row r="5" customFormat="false" ht="15" hidden="false" customHeight="false" outlineLevel="0" collapsed="false">
      <c r="A5" s="4" t="s">
        <v>89</v>
      </c>
      <c r="B5" s="4" t="s">
        <v>23</v>
      </c>
      <c r="C5" s="4" t="s">
        <v>90</v>
      </c>
      <c r="D5" s="4" t="s">
        <v>257</v>
      </c>
      <c r="E5" s="5" t="n">
        <v>2571</v>
      </c>
      <c r="F5" s="5" t="n">
        <v>0</v>
      </c>
      <c r="G5" s="5" t="n">
        <v>-359.94</v>
      </c>
      <c r="H5" s="4" t="s">
        <v>91</v>
      </c>
    </row>
    <row r="6" customFormat="false" ht="15" hidden="false" customHeight="false" outlineLevel="0" collapsed="false">
      <c r="A6" s="4" t="s">
        <v>92</v>
      </c>
      <c r="B6" s="4" t="s">
        <v>23</v>
      </c>
      <c r="C6" s="4" t="s">
        <v>93</v>
      </c>
      <c r="D6" s="4" t="s">
        <v>249</v>
      </c>
      <c r="E6" s="5" t="n">
        <v>47530</v>
      </c>
      <c r="F6" s="5" t="n">
        <v>47530</v>
      </c>
      <c r="G6" s="5" t="n">
        <v>6654.2</v>
      </c>
      <c r="H6" s="4" t="s">
        <v>94</v>
      </c>
    </row>
    <row r="7" customFormat="false" ht="15" hidden="false" customHeight="false" outlineLevel="0" collapsed="false">
      <c r="A7" s="4" t="s">
        <v>95</v>
      </c>
      <c r="B7" s="4" t="s">
        <v>23</v>
      </c>
      <c r="C7" s="4" t="s">
        <v>80</v>
      </c>
      <c r="D7" s="4" t="s">
        <v>249</v>
      </c>
      <c r="E7" s="5" t="n">
        <v>10001</v>
      </c>
      <c r="F7" s="5" t="n">
        <v>10001</v>
      </c>
      <c r="G7" s="5" t="n">
        <v>1400.14</v>
      </c>
      <c r="H7" s="4" t="s">
        <v>96</v>
      </c>
    </row>
    <row r="8" customFormat="false" ht="15" hidden="false" customHeight="false" outlineLevel="0" collapsed="false">
      <c r="A8" s="7" t="s">
        <v>250</v>
      </c>
      <c r="B8" s="6"/>
      <c r="C8" s="6"/>
      <c r="D8" s="6"/>
      <c r="E8" s="6"/>
      <c r="F8" s="6"/>
      <c r="G8" s="8" t="n">
        <f aca="false">SUM(G5:G7)</f>
        <v>7694.4</v>
      </c>
      <c r="H8" s="6"/>
    </row>
    <row r="9" customFormat="false" ht="15" hidden="false" customHeight="false" outlineLevel="0" collapsed="false">
      <c r="A9" s="4" t="s">
        <v>11</v>
      </c>
      <c r="G9" s="5" t="n">
        <f aca="false">SUMIFS(Adjustments!$D:$D,Adjustments!$A:$A,"Brian Gwyn")</f>
        <v>0</v>
      </c>
    </row>
    <row r="10" customFormat="false" ht="15" hidden="false" customHeight="false" outlineLevel="0" collapsed="false">
      <c r="A10" s="11" t="s">
        <v>251</v>
      </c>
      <c r="G10" s="13" t="n">
        <f aca="false">G8+G9</f>
        <v>7694.4</v>
      </c>
    </row>
    <row r="11" customFormat="false" ht="15" hidden="false" customHeight="false" outlineLevel="0" collapsed="false">
      <c r="A11" s="11" t="s">
        <v>258</v>
      </c>
    </row>
    <row r="12" customFormat="false" ht="15" hidden="false" customHeight="false" outlineLevel="0" collapsed="false">
      <c r="A12" s="3" t="s">
        <v>53</v>
      </c>
      <c r="B12" s="3" t="s">
        <v>4</v>
      </c>
      <c r="C12" s="3" t="s">
        <v>54</v>
      </c>
      <c r="D12" s="3" t="s">
        <v>187</v>
      </c>
      <c r="E12" s="3" t="s">
        <v>184</v>
      </c>
      <c r="F12" s="3" t="s">
        <v>188</v>
      </c>
      <c r="G12" s="3" t="s">
        <v>189</v>
      </c>
      <c r="H12" s="3" t="s">
        <v>190</v>
      </c>
      <c r="I12" s="3" t="s">
        <v>191</v>
      </c>
    </row>
    <row r="13" customFormat="false" ht="15" hidden="false" customHeight="false" outlineLevel="0" collapsed="false">
      <c r="A13" s="4" t="s">
        <v>192</v>
      </c>
      <c r="B13" s="4" t="s">
        <v>23</v>
      </c>
      <c r="C13" s="4" t="s">
        <v>193</v>
      </c>
      <c r="D13" s="4" t="s">
        <v>75</v>
      </c>
      <c r="E13" s="4" t="s">
        <v>194</v>
      </c>
      <c r="F13" s="4" t="s">
        <v>195</v>
      </c>
      <c r="G13" s="4" t="s">
        <v>196</v>
      </c>
      <c r="H13" s="4" t="s">
        <v>197</v>
      </c>
      <c r="I13" s="5" t="n">
        <v>3661.02</v>
      </c>
    </row>
    <row r="14" customFormat="false" ht="15" hidden="false" customHeight="false" outlineLevel="0" collapsed="false">
      <c r="A14" s="4" t="s">
        <v>202</v>
      </c>
      <c r="B14" s="4" t="s">
        <v>23</v>
      </c>
      <c r="C14" s="4" t="s">
        <v>203</v>
      </c>
      <c r="D14" s="4" t="s">
        <v>75</v>
      </c>
      <c r="E14" s="4" t="s">
        <v>194</v>
      </c>
      <c r="F14" s="4" t="s">
        <v>149</v>
      </c>
      <c r="G14" s="4" t="s">
        <v>204</v>
      </c>
      <c r="H14" s="4" t="s">
        <v>205</v>
      </c>
      <c r="I14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6" min="5" style="0" width="15"/>
    <col collapsed="false" customWidth="true" hidden="false" outlineLevel="0" max="7" min="7" style="0" width="13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24</v>
      </c>
      <c r="B1" s="11" t="s">
        <v>245</v>
      </c>
    </row>
    <row r="2" customFormat="false" ht="15" hidden="false" customHeight="false" outlineLevel="0" collapsed="false">
      <c r="A2" s="2" t="s">
        <v>252</v>
      </c>
    </row>
    <row r="4" customFormat="false" ht="15" hidden="false" customHeight="false" outlineLevel="0" collapsed="false">
      <c r="A4" s="3" t="s">
        <v>53</v>
      </c>
      <c r="B4" s="3" t="s">
        <v>4</v>
      </c>
      <c r="C4" s="3" t="s">
        <v>54</v>
      </c>
      <c r="D4" s="3" t="s">
        <v>52</v>
      </c>
      <c r="E4" s="3" t="s">
        <v>55</v>
      </c>
      <c r="F4" s="3" t="s">
        <v>56</v>
      </c>
      <c r="G4" s="3" t="s">
        <v>57</v>
      </c>
      <c r="H4" s="3" t="s">
        <v>58</v>
      </c>
    </row>
    <row r="5" customFormat="false" ht="15" hidden="false" customHeight="false" outlineLevel="0" collapsed="false">
      <c r="A5" s="4" t="s">
        <v>97</v>
      </c>
      <c r="B5" s="4" t="s">
        <v>19</v>
      </c>
      <c r="C5" s="4" t="s">
        <v>98</v>
      </c>
      <c r="D5" s="4" t="s">
        <v>249</v>
      </c>
      <c r="E5" s="5" t="n">
        <v>43003</v>
      </c>
      <c r="F5" s="5" t="n">
        <v>43003</v>
      </c>
      <c r="G5" s="5" t="n">
        <v>6020.42</v>
      </c>
      <c r="H5" s="4" t="s">
        <v>99</v>
      </c>
    </row>
    <row r="6" customFormat="false" ht="15" hidden="false" customHeight="false" outlineLevel="0" collapsed="false">
      <c r="A6" s="4" t="s">
        <v>97</v>
      </c>
      <c r="B6" s="4" t="s">
        <v>19</v>
      </c>
      <c r="C6" s="4" t="s">
        <v>98</v>
      </c>
      <c r="D6" s="4" t="s">
        <v>259</v>
      </c>
      <c r="E6" s="5" t="n">
        <v>43003</v>
      </c>
      <c r="F6" s="5" t="n">
        <v>43003</v>
      </c>
      <c r="G6" s="5" t="n">
        <v>860.06</v>
      </c>
      <c r="H6" s="4" t="s">
        <v>101</v>
      </c>
    </row>
    <row r="7" customFormat="false" ht="15" hidden="false" customHeight="false" outlineLevel="0" collapsed="false">
      <c r="A7" s="4" t="s">
        <v>102</v>
      </c>
      <c r="B7" s="4" t="s">
        <v>19</v>
      </c>
      <c r="C7" s="4" t="s">
        <v>103</v>
      </c>
      <c r="D7" s="4" t="s">
        <v>259</v>
      </c>
      <c r="E7" s="5" t="n">
        <v>22991</v>
      </c>
      <c r="F7" s="5" t="n">
        <v>22991</v>
      </c>
      <c r="G7" s="5" t="n">
        <v>459.82</v>
      </c>
      <c r="H7" s="4" t="s">
        <v>101</v>
      </c>
    </row>
    <row r="8" customFormat="false" ht="15" hidden="false" customHeight="false" outlineLevel="0" collapsed="false">
      <c r="A8" s="7" t="s">
        <v>250</v>
      </c>
      <c r="B8" s="6"/>
      <c r="C8" s="6"/>
      <c r="D8" s="6"/>
      <c r="E8" s="6"/>
      <c r="F8" s="6"/>
      <c r="G8" s="8" t="n">
        <f aca="false">SUM(G5:G7)</f>
        <v>7340.3</v>
      </c>
      <c r="H8" s="6"/>
    </row>
    <row r="9" customFormat="false" ht="15" hidden="false" customHeight="false" outlineLevel="0" collapsed="false">
      <c r="A9" s="4" t="s">
        <v>11</v>
      </c>
      <c r="G9" s="5" t="n">
        <f aca="false">SUMIFS(Adjustments!$D:$D,Adjustments!$A:$A,"Ryan Kelsey")</f>
        <v>0</v>
      </c>
    </row>
    <row r="10" customFormat="false" ht="15" hidden="false" customHeight="false" outlineLevel="0" collapsed="false">
      <c r="A10" s="11" t="s">
        <v>251</v>
      </c>
      <c r="G10" s="13" t="n">
        <f aca="false">G8+G9</f>
        <v>7340.3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6" min="5" style="0" width="15"/>
    <col collapsed="false" customWidth="true" hidden="false" outlineLevel="0" max="7" min="7" style="0" width="13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25</v>
      </c>
      <c r="B1" s="11" t="s">
        <v>245</v>
      </c>
    </row>
    <row r="2" customFormat="false" ht="15" hidden="false" customHeight="false" outlineLevel="0" collapsed="false">
      <c r="A2" s="2" t="s">
        <v>256</v>
      </c>
    </row>
    <row r="4" customFormat="false" ht="15" hidden="false" customHeight="false" outlineLevel="0" collapsed="false">
      <c r="A4" s="3" t="s">
        <v>53</v>
      </c>
      <c r="B4" s="3" t="s">
        <v>4</v>
      </c>
      <c r="C4" s="3" t="s">
        <v>54</v>
      </c>
      <c r="D4" s="3" t="s">
        <v>52</v>
      </c>
      <c r="E4" s="3" t="s">
        <v>55</v>
      </c>
      <c r="F4" s="3" t="s">
        <v>56</v>
      </c>
      <c r="G4" s="3" t="s">
        <v>57</v>
      </c>
      <c r="H4" s="3" t="s">
        <v>58</v>
      </c>
    </row>
    <row r="5" customFormat="false" ht="15" hidden="false" customHeight="false" outlineLevel="0" collapsed="false">
      <c r="A5" s="4" t="s">
        <v>104</v>
      </c>
      <c r="B5" s="4" t="s">
        <v>23</v>
      </c>
      <c r="C5" s="4" t="s">
        <v>84</v>
      </c>
      <c r="D5" s="4" t="s">
        <v>259</v>
      </c>
      <c r="E5" s="5" t="n">
        <v>16955</v>
      </c>
      <c r="F5" s="5" t="n">
        <v>16955</v>
      </c>
      <c r="G5" s="5" t="n">
        <v>339.1</v>
      </c>
      <c r="H5" s="4" t="s">
        <v>101</v>
      </c>
    </row>
    <row r="6" customFormat="false" ht="15" hidden="false" customHeight="false" outlineLevel="0" collapsed="false">
      <c r="A6" s="4" t="s">
        <v>105</v>
      </c>
      <c r="B6" s="4" t="s">
        <v>23</v>
      </c>
      <c r="C6" s="4" t="s">
        <v>106</v>
      </c>
      <c r="D6" s="4" t="s">
        <v>254</v>
      </c>
      <c r="E6" s="5" t="n">
        <v>12935</v>
      </c>
      <c r="F6" s="5" t="n">
        <v>12935</v>
      </c>
      <c r="G6" s="5" t="n">
        <v>1164.15</v>
      </c>
      <c r="H6" s="4" t="s">
        <v>78</v>
      </c>
    </row>
    <row r="7" customFormat="false" ht="15" hidden="false" customHeight="false" outlineLevel="0" collapsed="false">
      <c r="A7" s="4" t="s">
        <v>107</v>
      </c>
      <c r="B7" s="4" t="s">
        <v>23</v>
      </c>
      <c r="C7" s="4" t="s">
        <v>103</v>
      </c>
      <c r="D7" s="4" t="s">
        <v>259</v>
      </c>
      <c r="E7" s="5" t="n">
        <v>10098</v>
      </c>
      <c r="F7" s="5" t="n">
        <v>10098</v>
      </c>
      <c r="G7" s="5" t="n">
        <v>201.96</v>
      </c>
      <c r="H7" s="4" t="s">
        <v>101</v>
      </c>
    </row>
    <row r="8" customFormat="false" ht="15" hidden="false" customHeight="false" outlineLevel="0" collapsed="false">
      <c r="A8" s="4" t="s">
        <v>108</v>
      </c>
      <c r="B8" s="4" t="s">
        <v>23</v>
      </c>
      <c r="C8" s="4" t="s">
        <v>109</v>
      </c>
      <c r="D8" s="4" t="s">
        <v>248</v>
      </c>
      <c r="E8" s="5" t="n">
        <v>15055</v>
      </c>
      <c r="F8" s="5" t="n">
        <v>15055</v>
      </c>
      <c r="G8" s="5" t="n">
        <v>602.2</v>
      </c>
      <c r="H8" s="4" t="s">
        <v>110</v>
      </c>
    </row>
    <row r="9" customFormat="false" ht="15" hidden="false" customHeight="false" outlineLevel="0" collapsed="false">
      <c r="A9" s="4" t="s">
        <v>111</v>
      </c>
      <c r="B9" s="4" t="s">
        <v>23</v>
      </c>
      <c r="C9" s="4" t="s">
        <v>112</v>
      </c>
      <c r="D9" s="4" t="s">
        <v>248</v>
      </c>
      <c r="E9" s="5" t="n">
        <v>7603</v>
      </c>
      <c r="F9" s="5" t="n">
        <v>7603</v>
      </c>
      <c r="G9" s="5" t="n">
        <v>304.12</v>
      </c>
      <c r="H9" s="4" t="s">
        <v>110</v>
      </c>
    </row>
    <row r="10" customFormat="false" ht="15" hidden="false" customHeight="false" outlineLevel="0" collapsed="false">
      <c r="A10" s="4" t="s">
        <v>113</v>
      </c>
      <c r="B10" s="4" t="s">
        <v>23</v>
      </c>
      <c r="C10" s="4" t="s">
        <v>114</v>
      </c>
      <c r="D10" s="4" t="s">
        <v>254</v>
      </c>
      <c r="E10" s="5" t="n">
        <v>11832</v>
      </c>
      <c r="F10" s="5" t="n">
        <v>11832</v>
      </c>
      <c r="G10" s="5" t="n">
        <v>1064.88</v>
      </c>
      <c r="H10" s="4" t="s">
        <v>78</v>
      </c>
    </row>
    <row r="11" customFormat="false" ht="15" hidden="false" customHeight="false" outlineLevel="0" collapsed="false">
      <c r="A11" s="4" t="s">
        <v>115</v>
      </c>
      <c r="B11" s="4" t="s">
        <v>23</v>
      </c>
      <c r="C11" s="4" t="s">
        <v>77</v>
      </c>
      <c r="D11" s="4" t="s">
        <v>248</v>
      </c>
      <c r="E11" s="5" t="n">
        <v>26855</v>
      </c>
      <c r="F11" s="5" t="n">
        <v>26855</v>
      </c>
      <c r="G11" s="5" t="n">
        <v>1074.2</v>
      </c>
      <c r="H11" s="4" t="s">
        <v>110</v>
      </c>
    </row>
    <row r="12" customFormat="false" ht="15" hidden="false" customHeight="false" outlineLevel="0" collapsed="false">
      <c r="A12" s="4" t="s">
        <v>116</v>
      </c>
      <c r="B12" s="4" t="s">
        <v>23</v>
      </c>
      <c r="C12" s="4" t="s">
        <v>117</v>
      </c>
      <c r="D12" s="4" t="s">
        <v>254</v>
      </c>
      <c r="E12" s="5" t="n">
        <v>12807</v>
      </c>
      <c r="F12" s="5" t="n">
        <v>12807</v>
      </c>
      <c r="G12" s="5" t="n">
        <v>1152.63</v>
      </c>
      <c r="H12" s="4"/>
    </row>
    <row r="13" customFormat="false" ht="15" hidden="false" customHeight="false" outlineLevel="0" collapsed="false">
      <c r="A13" s="7" t="s">
        <v>250</v>
      </c>
      <c r="B13" s="6"/>
      <c r="C13" s="6"/>
      <c r="D13" s="6"/>
      <c r="E13" s="6"/>
      <c r="F13" s="6"/>
      <c r="G13" s="8" t="n">
        <f aca="false">SUM(G5:G12)</f>
        <v>5903.24</v>
      </c>
      <c r="H13" s="6"/>
    </row>
    <row r="14" customFormat="false" ht="15" hidden="false" customHeight="false" outlineLevel="0" collapsed="false">
      <c r="A14" s="4" t="s">
        <v>11</v>
      </c>
      <c r="G14" s="5" t="n">
        <f aca="false">SUMIFS(Adjustments!$D:$D,Adjustments!$A:$A,"Nick Brown")</f>
        <v>0</v>
      </c>
    </row>
    <row r="15" customFormat="false" ht="15" hidden="false" customHeight="false" outlineLevel="0" collapsed="false">
      <c r="A15" s="11" t="s">
        <v>251</v>
      </c>
      <c r="G15" s="13" t="n">
        <f aca="false">G13+G14</f>
        <v>5903.24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6" min="5" style="0" width="15"/>
    <col collapsed="false" customWidth="true" hidden="false" outlineLevel="0" max="7" min="7" style="0" width="13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26</v>
      </c>
      <c r="B1" s="11" t="s">
        <v>245</v>
      </c>
    </row>
    <row r="2" customFormat="false" ht="15" hidden="false" customHeight="false" outlineLevel="0" collapsed="false">
      <c r="A2" s="2" t="s">
        <v>256</v>
      </c>
    </row>
    <row r="4" customFormat="false" ht="15" hidden="false" customHeight="false" outlineLevel="0" collapsed="false">
      <c r="A4" s="3" t="s">
        <v>53</v>
      </c>
      <c r="B4" s="3" t="s">
        <v>4</v>
      </c>
      <c r="C4" s="3" t="s">
        <v>54</v>
      </c>
      <c r="D4" s="3" t="s">
        <v>52</v>
      </c>
      <c r="E4" s="3" t="s">
        <v>55</v>
      </c>
      <c r="F4" s="3" t="s">
        <v>56</v>
      </c>
      <c r="G4" s="3" t="s">
        <v>57</v>
      </c>
      <c r="H4" s="3" t="s">
        <v>58</v>
      </c>
    </row>
    <row r="5" customFormat="false" ht="15" hidden="false" customHeight="false" outlineLevel="0" collapsed="false">
      <c r="A5" s="4" t="s">
        <v>118</v>
      </c>
      <c r="B5" s="4" t="s">
        <v>23</v>
      </c>
      <c r="C5" s="4" t="s">
        <v>98</v>
      </c>
      <c r="D5" s="4" t="s">
        <v>248</v>
      </c>
      <c r="E5" s="5" t="n">
        <v>10997</v>
      </c>
      <c r="F5" s="5" t="n">
        <v>10997</v>
      </c>
      <c r="G5" s="5" t="n">
        <v>439.88</v>
      </c>
      <c r="H5" s="4" t="s">
        <v>119</v>
      </c>
    </row>
    <row r="6" customFormat="false" ht="15" hidden="false" customHeight="false" outlineLevel="0" collapsed="false">
      <c r="A6" s="4" t="s">
        <v>120</v>
      </c>
      <c r="B6" s="4" t="s">
        <v>23</v>
      </c>
      <c r="C6" s="4" t="s">
        <v>106</v>
      </c>
      <c r="D6" s="4" t="s">
        <v>248</v>
      </c>
      <c r="E6" s="5" t="n">
        <v>15833</v>
      </c>
      <c r="F6" s="5" t="n">
        <v>15833</v>
      </c>
      <c r="G6" s="5" t="n">
        <v>633.32</v>
      </c>
      <c r="H6" s="4" t="s">
        <v>119</v>
      </c>
    </row>
    <row r="7" customFormat="false" ht="15" hidden="false" customHeight="false" outlineLevel="0" collapsed="false">
      <c r="A7" s="4" t="s">
        <v>121</v>
      </c>
      <c r="B7" s="4" t="s">
        <v>23</v>
      </c>
      <c r="C7" s="4" t="s">
        <v>122</v>
      </c>
      <c r="D7" s="4" t="s">
        <v>248</v>
      </c>
      <c r="E7" s="5" t="n">
        <v>8050</v>
      </c>
      <c r="F7" s="5" t="n">
        <v>8050</v>
      </c>
      <c r="G7" s="5" t="n">
        <v>322</v>
      </c>
      <c r="H7" s="4" t="s">
        <v>119</v>
      </c>
    </row>
    <row r="8" customFormat="false" ht="15" hidden="false" customHeight="false" outlineLevel="0" collapsed="false">
      <c r="A8" s="4" t="s">
        <v>123</v>
      </c>
      <c r="B8" s="4" t="s">
        <v>23</v>
      </c>
      <c r="C8" s="4" t="s">
        <v>122</v>
      </c>
      <c r="D8" s="4" t="s">
        <v>248</v>
      </c>
      <c r="E8" s="5" t="n">
        <v>7635</v>
      </c>
      <c r="F8" s="5" t="n">
        <v>0</v>
      </c>
      <c r="G8" s="5" t="n">
        <v>0</v>
      </c>
      <c r="H8" s="4" t="s">
        <v>119</v>
      </c>
    </row>
    <row r="9" customFormat="false" ht="15" hidden="false" customHeight="false" outlineLevel="0" collapsed="false">
      <c r="A9" s="4" t="s">
        <v>124</v>
      </c>
      <c r="B9" s="4" t="s">
        <v>23</v>
      </c>
      <c r="C9" s="4" t="s">
        <v>103</v>
      </c>
      <c r="D9" s="4" t="s">
        <v>248</v>
      </c>
      <c r="E9" s="5" t="n">
        <v>19259</v>
      </c>
      <c r="F9" s="5" t="n">
        <v>19259</v>
      </c>
      <c r="G9" s="5" t="n">
        <v>770.36</v>
      </c>
      <c r="H9" s="4" t="s">
        <v>119</v>
      </c>
    </row>
    <row r="10" customFormat="false" ht="15" hidden="false" customHeight="false" outlineLevel="0" collapsed="false">
      <c r="A10" s="4" t="s">
        <v>125</v>
      </c>
      <c r="B10" s="4" t="s">
        <v>23</v>
      </c>
      <c r="C10" s="4" t="s">
        <v>103</v>
      </c>
      <c r="D10" s="4" t="s">
        <v>248</v>
      </c>
      <c r="E10" s="5" t="n">
        <v>14318</v>
      </c>
      <c r="F10" s="5" t="n">
        <v>14318</v>
      </c>
      <c r="G10" s="5" t="n">
        <v>572.72</v>
      </c>
      <c r="H10" s="4" t="s">
        <v>119</v>
      </c>
    </row>
    <row r="11" customFormat="false" ht="15" hidden="false" customHeight="false" outlineLevel="0" collapsed="false">
      <c r="A11" s="4" t="s">
        <v>126</v>
      </c>
      <c r="B11" s="4" t="s">
        <v>23</v>
      </c>
      <c r="C11" s="4" t="s">
        <v>114</v>
      </c>
      <c r="D11" s="4" t="s">
        <v>259</v>
      </c>
      <c r="E11" s="5" t="n">
        <v>10008</v>
      </c>
      <c r="F11" s="5" t="n">
        <v>10008</v>
      </c>
      <c r="G11" s="5" t="n">
        <v>200.16</v>
      </c>
      <c r="H11" s="4" t="s">
        <v>127</v>
      </c>
    </row>
    <row r="12" customFormat="false" ht="15" hidden="false" customHeight="false" outlineLevel="0" collapsed="false">
      <c r="A12" s="4" t="s">
        <v>128</v>
      </c>
      <c r="B12" s="4" t="s">
        <v>23</v>
      </c>
      <c r="C12" s="4" t="s">
        <v>77</v>
      </c>
      <c r="D12" s="4" t="s">
        <v>259</v>
      </c>
      <c r="E12" s="5" t="n">
        <v>18938</v>
      </c>
      <c r="F12" s="5" t="n">
        <v>18938</v>
      </c>
      <c r="G12" s="5" t="n">
        <v>378.76</v>
      </c>
      <c r="H12" s="4" t="s">
        <v>127</v>
      </c>
    </row>
    <row r="13" customFormat="false" ht="15" hidden="false" customHeight="false" outlineLevel="0" collapsed="false">
      <c r="A13" s="4" t="s">
        <v>129</v>
      </c>
      <c r="B13" s="4" t="s">
        <v>23</v>
      </c>
      <c r="C13" s="4" t="s">
        <v>130</v>
      </c>
      <c r="D13" s="4" t="s">
        <v>259</v>
      </c>
      <c r="E13" s="5" t="n">
        <v>17404</v>
      </c>
      <c r="F13" s="5" t="n">
        <v>17404</v>
      </c>
      <c r="G13" s="5" t="n">
        <v>348.08</v>
      </c>
      <c r="H13" s="4" t="s">
        <v>131</v>
      </c>
    </row>
    <row r="14" customFormat="false" ht="15" hidden="false" customHeight="false" outlineLevel="0" collapsed="false">
      <c r="A14" s="4" t="s">
        <v>133</v>
      </c>
      <c r="B14" s="4" t="s">
        <v>23</v>
      </c>
      <c r="C14" s="4" t="s">
        <v>93</v>
      </c>
      <c r="D14" s="4" t="s">
        <v>260</v>
      </c>
      <c r="E14" s="5" t="n">
        <v>15189</v>
      </c>
      <c r="F14" s="5" t="n">
        <v>15189</v>
      </c>
      <c r="G14" s="5" t="n">
        <v>759.45</v>
      </c>
      <c r="H14" s="4"/>
    </row>
    <row r="15" customFormat="false" ht="15" hidden="false" customHeight="false" outlineLevel="0" collapsed="false">
      <c r="A15" s="4" t="s">
        <v>133</v>
      </c>
      <c r="B15" s="4" t="s">
        <v>23</v>
      </c>
      <c r="C15" s="4" t="s">
        <v>93</v>
      </c>
      <c r="D15" s="4" t="s">
        <v>259</v>
      </c>
      <c r="E15" s="5" t="n">
        <v>15189</v>
      </c>
      <c r="F15" s="5" t="n">
        <v>15189</v>
      </c>
      <c r="G15" s="5" t="n">
        <v>303.78</v>
      </c>
      <c r="H15" s="4" t="s">
        <v>131</v>
      </c>
    </row>
    <row r="16" customFormat="false" ht="15" hidden="false" customHeight="false" outlineLevel="0" collapsed="false">
      <c r="A16" s="7" t="s">
        <v>250</v>
      </c>
      <c r="B16" s="6"/>
      <c r="C16" s="6"/>
      <c r="D16" s="6"/>
      <c r="E16" s="6"/>
      <c r="F16" s="6"/>
      <c r="G16" s="8" t="n">
        <f aca="false">SUM(G5:G15)</f>
        <v>4728.51</v>
      </c>
      <c r="H16" s="6"/>
    </row>
    <row r="17" customFormat="false" ht="15" hidden="false" customHeight="false" outlineLevel="0" collapsed="false">
      <c r="A17" s="4" t="s">
        <v>11</v>
      </c>
      <c r="G17" s="5" t="n">
        <f aca="false">SUMIFS(Adjustments!$D:$D,Adjustments!$A:$A,"Brandon Simpson")</f>
        <v>0</v>
      </c>
    </row>
    <row r="18" customFormat="false" ht="15" hidden="false" customHeight="false" outlineLevel="0" collapsed="false">
      <c r="A18" s="11" t="s">
        <v>251</v>
      </c>
      <c r="G18" s="13" t="n">
        <f aca="false">G16+G17</f>
        <v>4728.51</v>
      </c>
    </row>
    <row r="19" customFormat="false" ht="15" hidden="false" customHeight="false" outlineLevel="0" collapsed="false">
      <c r="A19" s="11" t="s">
        <v>258</v>
      </c>
    </row>
    <row r="20" customFormat="false" ht="15" hidden="false" customHeight="false" outlineLevel="0" collapsed="false">
      <c r="A20" s="3" t="s">
        <v>53</v>
      </c>
      <c r="B20" s="3" t="s">
        <v>4</v>
      </c>
      <c r="C20" s="3" t="s">
        <v>54</v>
      </c>
      <c r="D20" s="3" t="s">
        <v>187</v>
      </c>
      <c r="E20" s="3" t="s">
        <v>184</v>
      </c>
      <c r="F20" s="3" t="s">
        <v>188</v>
      </c>
      <c r="G20" s="3" t="s">
        <v>189</v>
      </c>
      <c r="H20" s="3" t="s">
        <v>190</v>
      </c>
      <c r="I20" s="3" t="s">
        <v>191</v>
      </c>
    </row>
    <row r="21" customFormat="false" ht="15" hidden="false" customHeight="false" outlineLevel="0" collapsed="false">
      <c r="A21" s="4" t="s">
        <v>202</v>
      </c>
      <c r="B21" s="4" t="s">
        <v>23</v>
      </c>
      <c r="C21" s="4" t="s">
        <v>203</v>
      </c>
      <c r="D21" s="4" t="s">
        <v>132</v>
      </c>
      <c r="E21" s="4" t="s">
        <v>194</v>
      </c>
      <c r="F21" s="4" t="s">
        <v>149</v>
      </c>
      <c r="G21" s="4" t="s">
        <v>204</v>
      </c>
      <c r="H21" s="4" t="s">
        <v>205</v>
      </c>
      <c r="I21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6" min="5" style="0" width="15"/>
    <col collapsed="false" customWidth="true" hidden="false" outlineLevel="0" max="7" min="7" style="0" width="13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27</v>
      </c>
      <c r="B1" s="11" t="s">
        <v>245</v>
      </c>
    </row>
    <row r="2" customFormat="false" ht="15" hidden="false" customHeight="false" outlineLevel="0" collapsed="false">
      <c r="A2" s="2" t="s">
        <v>246</v>
      </c>
    </row>
    <row r="4" customFormat="false" ht="15" hidden="false" customHeight="false" outlineLevel="0" collapsed="false">
      <c r="A4" s="3" t="s">
        <v>53</v>
      </c>
      <c r="B4" s="3" t="s">
        <v>4</v>
      </c>
      <c r="C4" s="3" t="s">
        <v>54</v>
      </c>
      <c r="D4" s="3" t="s">
        <v>52</v>
      </c>
      <c r="E4" s="3" t="s">
        <v>55</v>
      </c>
      <c r="F4" s="3" t="s">
        <v>56</v>
      </c>
      <c r="G4" s="3" t="s">
        <v>57</v>
      </c>
      <c r="H4" s="3" t="s">
        <v>58</v>
      </c>
    </row>
    <row r="5" customFormat="false" ht="15" hidden="false" customHeight="false" outlineLevel="0" collapsed="false">
      <c r="A5" s="4" t="s">
        <v>134</v>
      </c>
      <c r="B5" s="4" t="s">
        <v>16</v>
      </c>
      <c r="C5" s="4" t="s">
        <v>65</v>
      </c>
      <c r="D5" s="4" t="s">
        <v>248</v>
      </c>
      <c r="E5" s="5" t="n">
        <v>20247</v>
      </c>
      <c r="F5" s="5" t="n">
        <v>20247</v>
      </c>
      <c r="G5" s="5" t="n">
        <v>809.88</v>
      </c>
      <c r="H5" s="4" t="s">
        <v>135</v>
      </c>
    </row>
    <row r="6" customFormat="false" ht="15" hidden="false" customHeight="false" outlineLevel="0" collapsed="false">
      <c r="A6" s="4" t="s">
        <v>136</v>
      </c>
      <c r="B6" s="4" t="s">
        <v>16</v>
      </c>
      <c r="C6" s="4" t="s">
        <v>68</v>
      </c>
      <c r="D6" s="4" t="s">
        <v>248</v>
      </c>
      <c r="E6" s="5" t="n">
        <v>16393</v>
      </c>
      <c r="F6" s="5" t="n">
        <v>16393</v>
      </c>
      <c r="G6" s="5" t="n">
        <v>655.72</v>
      </c>
      <c r="H6" s="4" t="s">
        <v>135</v>
      </c>
    </row>
    <row r="7" customFormat="false" ht="15" hidden="false" customHeight="false" outlineLevel="0" collapsed="false">
      <c r="A7" s="4" t="s">
        <v>137</v>
      </c>
      <c r="B7" s="4" t="s">
        <v>16</v>
      </c>
      <c r="C7" s="4" t="s">
        <v>68</v>
      </c>
      <c r="D7" s="4" t="s">
        <v>248</v>
      </c>
      <c r="E7" s="5" t="n">
        <v>11229</v>
      </c>
      <c r="F7" s="5" t="n">
        <v>11229</v>
      </c>
      <c r="G7" s="5" t="n">
        <v>449.16</v>
      </c>
      <c r="H7" s="4" t="s">
        <v>135</v>
      </c>
    </row>
    <row r="8" customFormat="false" ht="15" hidden="false" customHeight="false" outlineLevel="0" collapsed="false">
      <c r="A8" s="4" t="s">
        <v>138</v>
      </c>
      <c r="B8" s="4" t="s">
        <v>16</v>
      </c>
      <c r="C8" s="4" t="s">
        <v>68</v>
      </c>
      <c r="D8" s="4" t="s">
        <v>248</v>
      </c>
      <c r="E8" s="5" t="n">
        <v>5920</v>
      </c>
      <c r="F8" s="5" t="n">
        <v>5920</v>
      </c>
      <c r="G8" s="5" t="n">
        <v>236.8</v>
      </c>
      <c r="H8" s="4" t="s">
        <v>135</v>
      </c>
    </row>
    <row r="9" customFormat="false" ht="15" hidden="false" customHeight="false" outlineLevel="0" collapsed="false">
      <c r="A9" s="4" t="s">
        <v>139</v>
      </c>
      <c r="B9" s="4" t="s">
        <v>16</v>
      </c>
      <c r="C9" s="4" t="s">
        <v>140</v>
      </c>
      <c r="D9" s="4" t="s">
        <v>248</v>
      </c>
      <c r="E9" s="5" t="n">
        <v>15992</v>
      </c>
      <c r="F9" s="5" t="n">
        <v>15992</v>
      </c>
      <c r="G9" s="5" t="n">
        <v>639.68</v>
      </c>
      <c r="H9" s="4" t="s">
        <v>135</v>
      </c>
    </row>
    <row r="10" customFormat="false" ht="15" hidden="false" customHeight="false" outlineLevel="0" collapsed="false">
      <c r="A10" s="4" t="s">
        <v>141</v>
      </c>
      <c r="B10" s="4" t="s">
        <v>16</v>
      </c>
      <c r="C10" s="4" t="s">
        <v>142</v>
      </c>
      <c r="D10" s="4" t="s">
        <v>248</v>
      </c>
      <c r="E10" s="5" t="n">
        <v>13219</v>
      </c>
      <c r="F10" s="5" t="n">
        <v>13219</v>
      </c>
      <c r="G10" s="5" t="n">
        <v>528.76</v>
      </c>
      <c r="H10" s="4" t="s">
        <v>135</v>
      </c>
    </row>
    <row r="11" customFormat="false" ht="15" hidden="false" customHeight="false" outlineLevel="0" collapsed="false">
      <c r="A11" s="4" t="s">
        <v>143</v>
      </c>
      <c r="B11" s="4" t="s">
        <v>16</v>
      </c>
      <c r="C11" s="4" t="s">
        <v>93</v>
      </c>
      <c r="D11" s="4" t="s">
        <v>260</v>
      </c>
      <c r="E11" s="5" t="n">
        <v>9038</v>
      </c>
      <c r="F11" s="5" t="n">
        <v>9038</v>
      </c>
      <c r="G11" s="5" t="n">
        <v>451.9</v>
      </c>
      <c r="H11" s="4"/>
    </row>
    <row r="12" customFormat="false" ht="15" hidden="false" customHeight="false" outlineLevel="0" collapsed="false">
      <c r="A12" s="4" t="s">
        <v>144</v>
      </c>
      <c r="B12" s="4" t="s">
        <v>16</v>
      </c>
      <c r="C12" s="4" t="s">
        <v>117</v>
      </c>
      <c r="D12" s="4" t="s">
        <v>260</v>
      </c>
      <c r="E12" s="5" t="n">
        <v>12418</v>
      </c>
      <c r="F12" s="5" t="n">
        <v>12418</v>
      </c>
      <c r="G12" s="5" t="n">
        <v>620.9</v>
      </c>
      <c r="H12" s="4"/>
    </row>
    <row r="13" customFormat="false" ht="15" hidden="false" customHeight="false" outlineLevel="0" collapsed="false">
      <c r="A13" s="7" t="s">
        <v>250</v>
      </c>
      <c r="B13" s="6"/>
      <c r="C13" s="6"/>
      <c r="D13" s="6"/>
      <c r="E13" s="6"/>
      <c r="F13" s="6"/>
      <c r="G13" s="8" t="n">
        <f aca="false">SUM(G5:G12)</f>
        <v>4392.8</v>
      </c>
      <c r="H13" s="6"/>
    </row>
    <row r="14" customFormat="false" ht="15" hidden="false" customHeight="false" outlineLevel="0" collapsed="false">
      <c r="A14" s="4" t="s">
        <v>11</v>
      </c>
      <c r="G14" s="5" t="n">
        <f aca="false">SUMIFS(Adjustments!$D:$D,Adjustments!$A:$A,"Shawn Harding")</f>
        <v>0</v>
      </c>
    </row>
    <row r="15" customFormat="false" ht="15" hidden="false" customHeight="false" outlineLevel="0" collapsed="false">
      <c r="A15" s="11" t="s">
        <v>251</v>
      </c>
      <c r="G15" s="13" t="n">
        <f aca="false">G13+G14</f>
        <v>4392.8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6" min="5" style="0" width="15"/>
    <col collapsed="false" customWidth="true" hidden="false" outlineLevel="0" max="7" min="7" style="0" width="13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28</v>
      </c>
      <c r="B1" s="11" t="s">
        <v>245</v>
      </c>
    </row>
    <row r="2" customFormat="false" ht="15" hidden="false" customHeight="false" outlineLevel="0" collapsed="false">
      <c r="A2" s="2" t="s">
        <v>246</v>
      </c>
    </row>
    <row r="4" customFormat="false" ht="15" hidden="false" customHeight="false" outlineLevel="0" collapsed="false">
      <c r="A4" s="3" t="s">
        <v>53</v>
      </c>
      <c r="B4" s="3" t="s">
        <v>4</v>
      </c>
      <c r="C4" s="3" t="s">
        <v>54</v>
      </c>
      <c r="D4" s="3" t="s">
        <v>52</v>
      </c>
      <c r="E4" s="3" t="s">
        <v>55</v>
      </c>
      <c r="F4" s="3" t="s">
        <v>56</v>
      </c>
      <c r="G4" s="3" t="s">
        <v>57</v>
      </c>
      <c r="H4" s="3" t="s">
        <v>58</v>
      </c>
    </row>
    <row r="5" customFormat="false" ht="15" hidden="false" customHeight="false" outlineLevel="0" collapsed="false">
      <c r="A5" s="4" t="s">
        <v>143</v>
      </c>
      <c r="B5" s="4" t="s">
        <v>16</v>
      </c>
      <c r="C5" s="4" t="s">
        <v>93</v>
      </c>
      <c r="D5" s="4" t="s">
        <v>254</v>
      </c>
      <c r="E5" s="5" t="n">
        <v>9038</v>
      </c>
      <c r="F5" s="5" t="n">
        <v>9038</v>
      </c>
      <c r="G5" s="5" t="n">
        <v>813.42</v>
      </c>
      <c r="H5" s="4"/>
    </row>
    <row r="6" customFormat="false" ht="15" hidden="false" customHeight="false" outlineLevel="0" collapsed="false">
      <c r="A6" s="4" t="s">
        <v>144</v>
      </c>
      <c r="B6" s="4" t="s">
        <v>16</v>
      </c>
      <c r="C6" s="4" t="s">
        <v>117</v>
      </c>
      <c r="D6" s="4" t="s">
        <v>254</v>
      </c>
      <c r="E6" s="5" t="n">
        <v>12418</v>
      </c>
      <c r="F6" s="5" t="n">
        <v>12418</v>
      </c>
      <c r="G6" s="5" t="n">
        <v>1117.62</v>
      </c>
      <c r="H6" s="4"/>
    </row>
    <row r="7" customFormat="false" ht="15" hidden="false" customHeight="false" outlineLevel="0" collapsed="false">
      <c r="A7" s="7" t="s">
        <v>250</v>
      </c>
      <c r="B7" s="6"/>
      <c r="C7" s="6"/>
      <c r="D7" s="6"/>
      <c r="E7" s="6"/>
      <c r="F7" s="6"/>
      <c r="G7" s="8" t="n">
        <f aca="false">SUM(G5:G6)</f>
        <v>1931.04</v>
      </c>
      <c r="H7" s="6"/>
    </row>
    <row r="8" customFormat="false" ht="15" hidden="false" customHeight="false" outlineLevel="0" collapsed="false">
      <c r="A8" s="4" t="s">
        <v>11</v>
      </c>
      <c r="G8" s="5" t="n">
        <f aca="false">SUMIFS(Adjustments!$D:$D,Adjustments!$A:$A,"Todd Hess")</f>
        <v>0</v>
      </c>
    </row>
    <row r="9" customFormat="false" ht="15" hidden="false" customHeight="false" outlineLevel="0" collapsed="false">
      <c r="A9" s="11" t="s">
        <v>251</v>
      </c>
      <c r="G9" s="13" t="n">
        <f aca="false">G7+G8</f>
        <v>1931.04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6" min="5" style="0" width="15"/>
    <col collapsed="false" customWidth="true" hidden="false" outlineLevel="0" max="7" min="7" style="0" width="13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29</v>
      </c>
      <c r="B1" s="11" t="s">
        <v>245</v>
      </c>
    </row>
    <row r="2" customFormat="false" ht="15" hidden="false" customHeight="false" outlineLevel="0" collapsed="false">
      <c r="A2" s="2" t="s">
        <v>255</v>
      </c>
    </row>
    <row r="4" customFormat="false" ht="15" hidden="false" customHeight="false" outlineLevel="0" collapsed="false">
      <c r="A4" s="3" t="s">
        <v>53</v>
      </c>
      <c r="B4" s="3" t="s">
        <v>4</v>
      </c>
      <c r="C4" s="3" t="s">
        <v>54</v>
      </c>
      <c r="D4" s="3" t="s">
        <v>52</v>
      </c>
      <c r="E4" s="3" t="s">
        <v>55</v>
      </c>
      <c r="F4" s="3" t="s">
        <v>56</v>
      </c>
      <c r="G4" s="3" t="s">
        <v>57</v>
      </c>
      <c r="H4" s="3" t="s">
        <v>58</v>
      </c>
    </row>
    <row r="5" customFormat="false" ht="15" hidden="false" customHeight="false" outlineLevel="0" collapsed="false">
      <c r="A5" s="4" t="s">
        <v>145</v>
      </c>
      <c r="B5" s="4" t="s">
        <v>21</v>
      </c>
      <c r="C5" s="4" t="s">
        <v>140</v>
      </c>
      <c r="D5" s="4" t="s">
        <v>248</v>
      </c>
      <c r="E5" s="5" t="n">
        <v>20338</v>
      </c>
      <c r="F5" s="5" t="n">
        <v>20338</v>
      </c>
      <c r="G5" s="5" t="n">
        <v>813.52</v>
      </c>
      <c r="H5" s="4" t="s">
        <v>66</v>
      </c>
    </row>
    <row r="6" customFormat="false" ht="15" hidden="false" customHeight="false" outlineLevel="0" collapsed="false">
      <c r="A6" s="4" t="s">
        <v>146</v>
      </c>
      <c r="B6" s="4" t="s">
        <v>21</v>
      </c>
      <c r="C6" s="4" t="s">
        <v>140</v>
      </c>
      <c r="D6" s="4" t="s">
        <v>248</v>
      </c>
      <c r="E6" s="5" t="n">
        <v>20262</v>
      </c>
      <c r="F6" s="5" t="n">
        <v>20262</v>
      </c>
      <c r="G6" s="5" t="n">
        <v>810.48</v>
      </c>
      <c r="H6" s="4" t="s">
        <v>66</v>
      </c>
    </row>
    <row r="7" customFormat="false" ht="15" hidden="false" customHeight="false" outlineLevel="0" collapsed="false">
      <c r="A7" s="4" t="s">
        <v>147</v>
      </c>
      <c r="B7" s="4" t="s">
        <v>21</v>
      </c>
      <c r="C7" s="4" t="s">
        <v>140</v>
      </c>
      <c r="D7" s="4" t="s">
        <v>248</v>
      </c>
      <c r="E7" s="5" t="n">
        <v>13193</v>
      </c>
      <c r="F7" s="5" t="n">
        <v>13193</v>
      </c>
      <c r="G7" s="5" t="n">
        <v>527.72</v>
      </c>
      <c r="H7" s="4" t="s">
        <v>66</v>
      </c>
    </row>
    <row r="8" customFormat="false" ht="15" hidden="false" customHeight="false" outlineLevel="0" collapsed="false">
      <c r="A8" s="4" t="s">
        <v>87</v>
      </c>
      <c r="B8" s="4" t="s">
        <v>21</v>
      </c>
      <c r="C8" s="4" t="s">
        <v>88</v>
      </c>
      <c r="D8" s="4" t="s">
        <v>260</v>
      </c>
      <c r="E8" s="5" t="n">
        <v>23395</v>
      </c>
      <c r="F8" s="5" t="n">
        <v>23395</v>
      </c>
      <c r="G8" s="5" t="n">
        <v>1169.75</v>
      </c>
      <c r="H8" s="4"/>
    </row>
    <row r="9" customFormat="false" ht="15" hidden="false" customHeight="false" outlineLevel="0" collapsed="false">
      <c r="A9" s="7" t="s">
        <v>250</v>
      </c>
      <c r="B9" s="6"/>
      <c r="C9" s="6"/>
      <c r="D9" s="6"/>
      <c r="E9" s="6"/>
      <c r="F9" s="6"/>
      <c r="G9" s="8" t="n">
        <f aca="false">SUM(G5:G8)</f>
        <v>3321.47</v>
      </c>
      <c r="H9" s="6"/>
    </row>
    <row r="10" customFormat="false" ht="15" hidden="false" customHeight="false" outlineLevel="0" collapsed="false">
      <c r="A10" s="4" t="s">
        <v>11</v>
      </c>
      <c r="G10" s="5" t="n">
        <f aca="false">SUMIFS(Adjustments!$D:$D,Adjustments!$A:$A,"Kimberly Simmerman")</f>
        <v>0</v>
      </c>
    </row>
    <row r="11" customFormat="false" ht="15" hidden="false" customHeight="false" outlineLevel="0" collapsed="false">
      <c r="A11" s="11" t="s">
        <v>251</v>
      </c>
      <c r="G11" s="13" t="n">
        <f aca="false">G9+G10</f>
        <v>3321.47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6" min="5" style="0" width="15"/>
    <col collapsed="false" customWidth="true" hidden="false" outlineLevel="0" max="7" min="7" style="0" width="13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30</v>
      </c>
      <c r="B1" s="11" t="s">
        <v>245</v>
      </c>
    </row>
    <row r="2" customFormat="false" ht="15" hidden="false" customHeight="false" outlineLevel="0" collapsed="false">
      <c r="A2" s="2" t="s">
        <v>255</v>
      </c>
    </row>
    <row r="4" customFormat="false" ht="15" hidden="false" customHeight="false" outlineLevel="0" collapsed="false">
      <c r="A4" s="3" t="s">
        <v>53</v>
      </c>
      <c r="B4" s="3" t="s">
        <v>4</v>
      </c>
      <c r="C4" s="3" t="s">
        <v>54</v>
      </c>
      <c r="D4" s="3" t="s">
        <v>52</v>
      </c>
      <c r="E4" s="3" t="s">
        <v>55</v>
      </c>
      <c r="F4" s="3" t="s">
        <v>56</v>
      </c>
      <c r="G4" s="3" t="s">
        <v>57</v>
      </c>
      <c r="H4" s="3" t="s">
        <v>58</v>
      </c>
    </row>
    <row r="5" customFormat="false" ht="15" hidden="false" customHeight="false" outlineLevel="0" collapsed="false">
      <c r="A5" s="4" t="s">
        <v>148</v>
      </c>
      <c r="B5" s="4" t="s">
        <v>21</v>
      </c>
      <c r="C5" s="4" t="s">
        <v>149</v>
      </c>
      <c r="D5" s="4" t="s">
        <v>248</v>
      </c>
      <c r="E5" s="5" t="n">
        <v>38023</v>
      </c>
      <c r="F5" s="5" t="n">
        <v>38023</v>
      </c>
      <c r="G5" s="5" t="n">
        <v>1520.92</v>
      </c>
      <c r="H5" s="4" t="s">
        <v>66</v>
      </c>
    </row>
    <row r="6" customFormat="false" ht="15" hidden="false" customHeight="false" outlineLevel="0" collapsed="false">
      <c r="A6" s="4" t="s">
        <v>150</v>
      </c>
      <c r="B6" s="4" t="s">
        <v>21</v>
      </c>
      <c r="C6" s="4" t="s">
        <v>149</v>
      </c>
      <c r="D6" s="4" t="s">
        <v>248</v>
      </c>
      <c r="E6" s="5" t="n">
        <v>18593</v>
      </c>
      <c r="F6" s="5" t="n">
        <v>18593</v>
      </c>
      <c r="G6" s="5" t="n">
        <v>743.72</v>
      </c>
      <c r="H6" s="4" t="s">
        <v>66</v>
      </c>
    </row>
    <row r="7" customFormat="false" ht="15" hidden="false" customHeight="false" outlineLevel="0" collapsed="false">
      <c r="A7" s="4" t="s">
        <v>151</v>
      </c>
      <c r="B7" s="4" t="s">
        <v>21</v>
      </c>
      <c r="C7" s="4" t="s">
        <v>149</v>
      </c>
      <c r="D7" s="4" t="s">
        <v>248</v>
      </c>
      <c r="E7" s="5" t="n">
        <v>9937</v>
      </c>
      <c r="F7" s="5" t="n">
        <v>9937</v>
      </c>
      <c r="G7" s="5" t="n">
        <v>397.48</v>
      </c>
      <c r="H7" s="4" t="s">
        <v>66</v>
      </c>
    </row>
    <row r="8" customFormat="false" ht="15" hidden="false" customHeight="false" outlineLevel="0" collapsed="false">
      <c r="A8" s="7" t="s">
        <v>250</v>
      </c>
      <c r="B8" s="6"/>
      <c r="C8" s="6"/>
      <c r="D8" s="6"/>
      <c r="E8" s="6"/>
      <c r="F8" s="6"/>
      <c r="G8" s="8" t="n">
        <f aca="false">SUM(G5:G7)</f>
        <v>2662.12</v>
      </c>
      <c r="H8" s="6"/>
    </row>
    <row r="9" customFormat="false" ht="15" hidden="false" customHeight="false" outlineLevel="0" collapsed="false">
      <c r="A9" s="4" t="s">
        <v>11</v>
      </c>
      <c r="G9" s="5" t="n">
        <f aca="false">SUMIFS(Adjustments!$D:$D,Adjustments!$A:$A,"Chase Merrell")</f>
        <v>0</v>
      </c>
    </row>
    <row r="10" customFormat="false" ht="15" hidden="false" customHeight="false" outlineLevel="0" collapsed="false">
      <c r="A10" s="11" t="s">
        <v>251</v>
      </c>
      <c r="G10" s="13" t="n">
        <f aca="false">G8+G9</f>
        <v>2662.12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6" min="5" style="0" width="15"/>
    <col collapsed="false" customWidth="true" hidden="false" outlineLevel="0" max="7" min="7" style="0" width="13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31</v>
      </c>
      <c r="B1" s="11" t="s">
        <v>245</v>
      </c>
    </row>
    <row r="2" customFormat="false" ht="15" hidden="false" customHeight="false" outlineLevel="0" collapsed="false">
      <c r="A2" s="2" t="s">
        <v>246</v>
      </c>
    </row>
    <row r="4" customFormat="false" ht="15" hidden="false" customHeight="false" outlineLevel="0" collapsed="false">
      <c r="A4" s="3" t="s">
        <v>53</v>
      </c>
      <c r="B4" s="3" t="s">
        <v>4</v>
      </c>
      <c r="C4" s="3" t="s">
        <v>54</v>
      </c>
      <c r="D4" s="3" t="s">
        <v>52</v>
      </c>
      <c r="E4" s="3" t="s">
        <v>55</v>
      </c>
      <c r="F4" s="3" t="s">
        <v>56</v>
      </c>
      <c r="G4" s="3" t="s">
        <v>57</v>
      </c>
      <c r="H4" s="3" t="s">
        <v>58</v>
      </c>
    </row>
    <row r="5" customFormat="false" ht="15" hidden="false" customHeight="false" outlineLevel="0" collapsed="false">
      <c r="A5" s="4" t="s">
        <v>152</v>
      </c>
      <c r="B5" s="4" t="s">
        <v>16</v>
      </c>
      <c r="C5" s="4" t="s">
        <v>68</v>
      </c>
      <c r="D5" s="4" t="s">
        <v>248</v>
      </c>
      <c r="E5" s="5" t="n">
        <v>13026</v>
      </c>
      <c r="F5" s="5" t="n">
        <v>13026</v>
      </c>
      <c r="G5" s="5" t="n">
        <v>521.04</v>
      </c>
      <c r="H5" s="4" t="s">
        <v>153</v>
      </c>
    </row>
    <row r="6" customFormat="false" ht="15" hidden="false" customHeight="false" outlineLevel="0" collapsed="false">
      <c r="A6" s="4" t="s">
        <v>154</v>
      </c>
      <c r="B6" s="4" t="s">
        <v>16</v>
      </c>
      <c r="C6" s="4" t="s">
        <v>149</v>
      </c>
      <c r="D6" s="4" t="s">
        <v>248</v>
      </c>
      <c r="E6" s="5" t="n">
        <v>16938</v>
      </c>
      <c r="F6" s="5" t="n">
        <v>16938</v>
      </c>
      <c r="G6" s="5" t="n">
        <v>677.52</v>
      </c>
      <c r="H6" s="4" t="s">
        <v>153</v>
      </c>
    </row>
    <row r="7" customFormat="false" ht="15" hidden="false" customHeight="false" outlineLevel="0" collapsed="false">
      <c r="A7" s="4" t="s">
        <v>155</v>
      </c>
      <c r="B7" s="4" t="s">
        <v>16</v>
      </c>
      <c r="C7" s="4" t="s">
        <v>140</v>
      </c>
      <c r="D7" s="4" t="s">
        <v>248</v>
      </c>
      <c r="E7" s="5" t="n">
        <v>6121</v>
      </c>
      <c r="F7" s="5" t="n">
        <v>6121</v>
      </c>
      <c r="G7" s="5" t="n">
        <v>244.84</v>
      </c>
      <c r="H7" s="4" t="s">
        <v>153</v>
      </c>
    </row>
    <row r="8" customFormat="false" ht="15" hidden="false" customHeight="false" outlineLevel="0" collapsed="false">
      <c r="A8" s="4" t="s">
        <v>156</v>
      </c>
      <c r="B8" s="4" t="s">
        <v>16</v>
      </c>
      <c r="C8" s="4" t="s">
        <v>71</v>
      </c>
      <c r="D8" s="4" t="s">
        <v>248</v>
      </c>
      <c r="E8" s="5" t="n">
        <v>19718</v>
      </c>
      <c r="F8" s="5" t="n">
        <v>19718</v>
      </c>
      <c r="G8" s="5" t="n">
        <v>788.72</v>
      </c>
      <c r="H8" s="4" t="s">
        <v>153</v>
      </c>
    </row>
    <row r="9" customFormat="false" ht="15" hidden="false" customHeight="false" outlineLevel="0" collapsed="false">
      <c r="A9" s="4" t="s">
        <v>157</v>
      </c>
      <c r="B9" s="4" t="s">
        <v>16</v>
      </c>
      <c r="C9" s="4" t="s">
        <v>93</v>
      </c>
      <c r="D9" s="4" t="s">
        <v>260</v>
      </c>
      <c r="E9" s="5" t="n">
        <v>3534</v>
      </c>
      <c r="F9" s="5" t="n">
        <v>3534</v>
      </c>
      <c r="G9" s="5" t="n">
        <v>176.7</v>
      </c>
      <c r="H9" s="4"/>
    </row>
    <row r="10" customFormat="false" ht="15" hidden="false" customHeight="false" outlineLevel="0" collapsed="false">
      <c r="A10" s="7" t="s">
        <v>250</v>
      </c>
      <c r="B10" s="6"/>
      <c r="C10" s="6"/>
      <c r="D10" s="6"/>
      <c r="E10" s="6"/>
      <c r="F10" s="6"/>
      <c r="G10" s="8" t="n">
        <f aca="false">SUM(G5:G9)</f>
        <v>2408.82</v>
      </c>
      <c r="H10" s="6"/>
    </row>
    <row r="11" customFormat="false" ht="15" hidden="false" customHeight="false" outlineLevel="0" collapsed="false">
      <c r="A11" s="4" t="s">
        <v>11</v>
      </c>
      <c r="G11" s="5" t="n">
        <f aca="false">SUMIFS(Adjustments!$D:$D,Adjustments!$A:$A,"Isabella Basanta")</f>
        <v>0</v>
      </c>
    </row>
    <row r="12" customFormat="false" ht="15" hidden="false" customHeight="false" outlineLevel="0" collapsed="false">
      <c r="A12" s="11" t="s">
        <v>251</v>
      </c>
      <c r="G12" s="13" t="n">
        <f aca="false">G10+G11</f>
        <v>2408.82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6" min="5" style="0" width="15"/>
    <col collapsed="false" customWidth="true" hidden="false" outlineLevel="0" max="7" min="7" style="0" width="13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32</v>
      </c>
      <c r="B1" s="11" t="s">
        <v>245</v>
      </c>
    </row>
    <row r="2" customFormat="false" ht="15" hidden="false" customHeight="false" outlineLevel="0" collapsed="false">
      <c r="A2" s="2" t="s">
        <v>255</v>
      </c>
    </row>
    <row r="4" customFormat="false" ht="15" hidden="false" customHeight="false" outlineLevel="0" collapsed="false">
      <c r="A4" s="3" t="s">
        <v>53</v>
      </c>
      <c r="B4" s="3" t="s">
        <v>4</v>
      </c>
      <c r="C4" s="3" t="s">
        <v>54</v>
      </c>
      <c r="D4" s="3" t="s">
        <v>52</v>
      </c>
      <c r="E4" s="3" t="s">
        <v>55</v>
      </c>
      <c r="F4" s="3" t="s">
        <v>56</v>
      </c>
      <c r="G4" s="3" t="s">
        <v>57</v>
      </c>
      <c r="H4" s="3" t="s">
        <v>58</v>
      </c>
    </row>
    <row r="5" customFormat="false" ht="15" hidden="false" customHeight="false" outlineLevel="0" collapsed="false">
      <c r="A5" s="4" t="s">
        <v>81</v>
      </c>
      <c r="B5" s="4" t="s">
        <v>21</v>
      </c>
      <c r="C5" s="4" t="s">
        <v>82</v>
      </c>
      <c r="D5" s="4" t="s">
        <v>247</v>
      </c>
      <c r="E5" s="5" t="n">
        <v>13422</v>
      </c>
      <c r="F5" s="5" t="n">
        <v>0</v>
      </c>
      <c r="G5" s="5" t="n">
        <v>-671.1</v>
      </c>
      <c r="H5" s="4" t="s">
        <v>62</v>
      </c>
    </row>
    <row r="6" customFormat="false" ht="15" hidden="false" customHeight="false" outlineLevel="0" collapsed="false">
      <c r="A6" s="4" t="s">
        <v>158</v>
      </c>
      <c r="B6" s="4" t="s">
        <v>21</v>
      </c>
      <c r="C6" s="4" t="s">
        <v>68</v>
      </c>
      <c r="D6" s="4" t="s">
        <v>259</v>
      </c>
      <c r="E6" s="5" t="n">
        <v>5841</v>
      </c>
      <c r="F6" s="5" t="n">
        <v>5841</v>
      </c>
      <c r="G6" s="5" t="n">
        <v>116.82</v>
      </c>
      <c r="H6" s="4" t="s">
        <v>159</v>
      </c>
    </row>
    <row r="7" customFormat="false" ht="15" hidden="false" customHeight="false" outlineLevel="0" collapsed="false">
      <c r="A7" s="4" t="s">
        <v>160</v>
      </c>
      <c r="B7" s="4" t="s">
        <v>21</v>
      </c>
      <c r="C7" s="4" t="s">
        <v>71</v>
      </c>
      <c r="D7" s="4" t="s">
        <v>259</v>
      </c>
      <c r="E7" s="5" t="n">
        <v>12349</v>
      </c>
      <c r="F7" s="5" t="n">
        <v>12349</v>
      </c>
      <c r="G7" s="5" t="n">
        <v>246.98</v>
      </c>
      <c r="H7" s="4" t="s">
        <v>159</v>
      </c>
    </row>
    <row r="8" customFormat="false" ht="15" hidden="false" customHeight="false" outlineLevel="0" collapsed="false">
      <c r="A8" s="4" t="s">
        <v>76</v>
      </c>
      <c r="B8" s="4" t="s">
        <v>21</v>
      </c>
      <c r="C8" s="4" t="s">
        <v>77</v>
      </c>
      <c r="D8" s="4" t="s">
        <v>260</v>
      </c>
      <c r="E8" s="5" t="n">
        <v>17811</v>
      </c>
      <c r="F8" s="5" t="n">
        <v>17811</v>
      </c>
      <c r="G8" s="5" t="n">
        <v>890.55</v>
      </c>
      <c r="H8" s="4" t="s">
        <v>78</v>
      </c>
    </row>
    <row r="9" customFormat="false" ht="15" hidden="false" customHeight="false" outlineLevel="0" collapsed="false">
      <c r="A9" s="4" t="s">
        <v>85</v>
      </c>
      <c r="B9" s="4" t="s">
        <v>21</v>
      </c>
      <c r="C9" s="4" t="s">
        <v>86</v>
      </c>
      <c r="D9" s="4" t="s">
        <v>260</v>
      </c>
      <c r="E9" s="5" t="n">
        <v>14796</v>
      </c>
      <c r="F9" s="5" t="n">
        <v>14796</v>
      </c>
      <c r="G9" s="5" t="n">
        <v>739.8</v>
      </c>
      <c r="H9" s="4"/>
    </row>
    <row r="10" customFormat="false" ht="15" hidden="false" customHeight="false" outlineLevel="0" collapsed="false">
      <c r="A10" s="7" t="s">
        <v>250</v>
      </c>
      <c r="B10" s="6"/>
      <c r="C10" s="6"/>
      <c r="D10" s="6"/>
      <c r="E10" s="6"/>
      <c r="F10" s="6"/>
      <c r="G10" s="8" t="n">
        <f aca="false">SUM(G5:G9)</f>
        <v>1323.05</v>
      </c>
      <c r="H10" s="6"/>
    </row>
    <row r="11" customFormat="false" ht="15" hidden="false" customHeight="false" outlineLevel="0" collapsed="false">
      <c r="A11" s="4" t="s">
        <v>11</v>
      </c>
      <c r="G11" s="5" t="n">
        <f aca="false">SUMIFS(Adjustments!$D:$D,Adjustments!$A:$A,"Colter Busk")</f>
        <v>0</v>
      </c>
    </row>
    <row r="12" customFormat="false" ht="15" hidden="false" customHeight="false" outlineLevel="0" collapsed="false">
      <c r="A12" s="11" t="s">
        <v>251</v>
      </c>
      <c r="G12" s="13" t="n">
        <f aca="false">G10+G11</f>
        <v>1323.05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6" min="5" style="0" width="15"/>
    <col collapsed="false" customWidth="true" hidden="false" outlineLevel="0" max="7" min="7" style="0" width="13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33</v>
      </c>
      <c r="B1" s="11" t="s">
        <v>245</v>
      </c>
    </row>
    <row r="2" customFormat="false" ht="15" hidden="false" customHeight="false" outlineLevel="0" collapsed="false">
      <c r="A2" s="2" t="s">
        <v>255</v>
      </c>
    </row>
    <row r="4" customFormat="false" ht="15" hidden="false" customHeight="false" outlineLevel="0" collapsed="false">
      <c r="A4" s="3" t="s">
        <v>53</v>
      </c>
      <c r="B4" s="3" t="s">
        <v>4</v>
      </c>
      <c r="C4" s="3" t="s">
        <v>54</v>
      </c>
      <c r="D4" s="3" t="s">
        <v>52</v>
      </c>
      <c r="E4" s="3" t="s">
        <v>55</v>
      </c>
      <c r="F4" s="3" t="s">
        <v>56</v>
      </c>
      <c r="G4" s="3" t="s">
        <v>57</v>
      </c>
      <c r="H4" s="3" t="s">
        <v>58</v>
      </c>
    </row>
    <row r="5" customFormat="false" ht="15" hidden="false" customHeight="false" outlineLevel="0" collapsed="false">
      <c r="A5" s="4" t="s">
        <v>83</v>
      </c>
      <c r="B5" s="4" t="s">
        <v>21</v>
      </c>
      <c r="C5" s="4" t="s">
        <v>84</v>
      </c>
      <c r="D5" s="4" t="s">
        <v>260</v>
      </c>
      <c r="E5" s="5" t="n">
        <v>15902</v>
      </c>
      <c r="F5" s="5" t="n">
        <v>15902</v>
      </c>
      <c r="G5" s="5" t="n">
        <v>795.1</v>
      </c>
      <c r="H5" s="4" t="s">
        <v>78</v>
      </c>
    </row>
    <row r="6" customFormat="false" ht="15" hidden="false" customHeight="false" outlineLevel="0" collapsed="false">
      <c r="A6" s="4" t="s">
        <v>79</v>
      </c>
      <c r="B6" s="4" t="s">
        <v>21</v>
      </c>
      <c r="C6" s="4" t="s">
        <v>80</v>
      </c>
      <c r="D6" s="4" t="s">
        <v>260</v>
      </c>
      <c r="E6" s="5" t="n">
        <v>27179</v>
      </c>
      <c r="F6" s="5" t="n">
        <v>27179</v>
      </c>
      <c r="G6" s="5" t="n">
        <v>1358.95</v>
      </c>
      <c r="H6" s="4"/>
    </row>
    <row r="7" customFormat="false" ht="15" hidden="false" customHeight="false" outlineLevel="0" collapsed="false">
      <c r="A7" s="7" t="s">
        <v>250</v>
      </c>
      <c r="B7" s="6"/>
      <c r="C7" s="6"/>
      <c r="D7" s="6"/>
      <c r="E7" s="6"/>
      <c r="F7" s="6"/>
      <c r="G7" s="8" t="n">
        <f aca="false">SUM(G5:G6)</f>
        <v>2154.05</v>
      </c>
      <c r="H7" s="6"/>
    </row>
    <row r="8" customFormat="false" ht="15" hidden="false" customHeight="false" outlineLevel="0" collapsed="false">
      <c r="A8" s="4" t="s">
        <v>11</v>
      </c>
      <c r="G8" s="5" t="n">
        <f aca="false">SUMIFS(Adjustments!$D:$D,Adjustments!$A:$A,"Giancarlo Stoffels")</f>
        <v>0</v>
      </c>
    </row>
    <row r="9" customFormat="false" ht="15" hidden="false" customHeight="false" outlineLevel="0" collapsed="false">
      <c r="A9" s="11" t="s">
        <v>251</v>
      </c>
      <c r="G9" s="13" t="n">
        <f aca="false">G7+G8</f>
        <v>2154.05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6" min="5" style="0" width="15"/>
    <col collapsed="false" customWidth="true" hidden="false" outlineLevel="0" max="7" min="7" style="0" width="13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34</v>
      </c>
      <c r="B1" s="11" t="s">
        <v>245</v>
      </c>
    </row>
    <row r="2" customFormat="false" ht="15" hidden="false" customHeight="false" outlineLevel="0" collapsed="false">
      <c r="A2" s="2" t="s">
        <v>256</v>
      </c>
    </row>
    <row r="4" customFormat="false" ht="15" hidden="false" customHeight="false" outlineLevel="0" collapsed="false">
      <c r="A4" s="3" t="s">
        <v>53</v>
      </c>
      <c r="B4" s="3" t="s">
        <v>4</v>
      </c>
      <c r="C4" s="3" t="s">
        <v>54</v>
      </c>
      <c r="D4" s="3" t="s">
        <v>52</v>
      </c>
      <c r="E4" s="3" t="s">
        <v>55</v>
      </c>
      <c r="F4" s="3" t="s">
        <v>56</v>
      </c>
      <c r="G4" s="3" t="s">
        <v>57</v>
      </c>
      <c r="H4" s="3" t="s">
        <v>58</v>
      </c>
    </row>
    <row r="5" customFormat="false" ht="15" hidden="false" customHeight="false" outlineLevel="0" collapsed="false">
      <c r="A5" s="4" t="s">
        <v>113</v>
      </c>
      <c r="B5" s="4" t="s">
        <v>23</v>
      </c>
      <c r="C5" s="4" t="s">
        <v>114</v>
      </c>
      <c r="D5" s="4" t="s">
        <v>260</v>
      </c>
      <c r="E5" s="5" t="n">
        <v>11832</v>
      </c>
      <c r="F5" s="5" t="n">
        <v>11832</v>
      </c>
      <c r="G5" s="5" t="n">
        <v>591.6</v>
      </c>
      <c r="H5" s="4" t="s">
        <v>78</v>
      </c>
    </row>
    <row r="6" customFormat="false" ht="15" hidden="false" customHeight="false" outlineLevel="0" collapsed="false">
      <c r="A6" s="4" t="s">
        <v>161</v>
      </c>
      <c r="B6" s="4" t="s">
        <v>23</v>
      </c>
      <c r="C6" s="4" t="s">
        <v>162</v>
      </c>
      <c r="D6" s="4" t="s">
        <v>259</v>
      </c>
      <c r="E6" s="5" t="n">
        <v>17474</v>
      </c>
      <c r="F6" s="5" t="n">
        <v>17474</v>
      </c>
      <c r="G6" s="5" t="n">
        <v>349.48</v>
      </c>
      <c r="H6" s="4" t="s">
        <v>131</v>
      </c>
    </row>
    <row r="7" customFormat="false" ht="15" hidden="false" customHeight="false" outlineLevel="0" collapsed="false">
      <c r="A7" s="4" t="s">
        <v>163</v>
      </c>
      <c r="B7" s="4" t="s">
        <v>23</v>
      </c>
      <c r="C7" s="4" t="s">
        <v>130</v>
      </c>
      <c r="D7" s="4" t="s">
        <v>259</v>
      </c>
      <c r="E7" s="5" t="n">
        <v>12221</v>
      </c>
      <c r="F7" s="5" t="n">
        <v>12221</v>
      </c>
      <c r="G7" s="5" t="n">
        <v>244.42</v>
      </c>
      <c r="H7" s="4" t="s">
        <v>131</v>
      </c>
    </row>
    <row r="8" customFormat="false" ht="15" hidden="false" customHeight="false" outlineLevel="0" collapsed="false">
      <c r="A8" s="4" t="s">
        <v>116</v>
      </c>
      <c r="B8" s="4" t="s">
        <v>23</v>
      </c>
      <c r="C8" s="4" t="s">
        <v>117</v>
      </c>
      <c r="D8" s="4" t="s">
        <v>260</v>
      </c>
      <c r="E8" s="5" t="n">
        <v>12807</v>
      </c>
      <c r="F8" s="5" t="n">
        <v>12807</v>
      </c>
      <c r="G8" s="5" t="n">
        <v>640.35</v>
      </c>
      <c r="H8" s="4"/>
    </row>
    <row r="9" customFormat="false" ht="15" hidden="false" customHeight="false" outlineLevel="0" collapsed="false">
      <c r="A9" s="7" t="s">
        <v>250</v>
      </c>
      <c r="B9" s="6"/>
      <c r="C9" s="6"/>
      <c r="D9" s="6"/>
      <c r="E9" s="6"/>
      <c r="F9" s="6"/>
      <c r="G9" s="8" t="n">
        <f aca="false">SUM(G5:G8)</f>
        <v>1825.85</v>
      </c>
      <c r="H9" s="6"/>
    </row>
    <row r="10" customFormat="false" ht="15" hidden="false" customHeight="false" outlineLevel="0" collapsed="false">
      <c r="A10" s="4" t="s">
        <v>11</v>
      </c>
      <c r="G10" s="5" t="n">
        <f aca="false">SUMIFS(Adjustments!$D:$D,Adjustments!$A:$A,"Zackary Johnston")</f>
        <v>0</v>
      </c>
    </row>
    <row r="11" customFormat="false" ht="15" hidden="false" customHeight="false" outlineLevel="0" collapsed="false">
      <c r="A11" s="11" t="s">
        <v>251</v>
      </c>
      <c r="G11" s="13" t="n">
        <f aca="false">G9+G10</f>
        <v>1825.85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6" min="5" style="0" width="15"/>
    <col collapsed="false" customWidth="true" hidden="false" outlineLevel="0" max="7" min="7" style="0" width="13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35</v>
      </c>
      <c r="B1" s="11" t="s">
        <v>245</v>
      </c>
    </row>
    <row r="2" customFormat="false" ht="15" hidden="false" customHeight="false" outlineLevel="0" collapsed="false">
      <c r="A2" s="2" t="s">
        <v>256</v>
      </c>
    </row>
    <row r="4" customFormat="false" ht="15" hidden="false" customHeight="false" outlineLevel="0" collapsed="false">
      <c r="A4" s="3" t="s">
        <v>53</v>
      </c>
      <c r="B4" s="3" t="s">
        <v>4</v>
      </c>
      <c r="C4" s="3" t="s">
        <v>54</v>
      </c>
      <c r="D4" s="3" t="s">
        <v>52</v>
      </c>
      <c r="E4" s="3" t="s">
        <v>55</v>
      </c>
      <c r="F4" s="3" t="s">
        <v>56</v>
      </c>
      <c r="G4" s="3" t="s">
        <v>57</v>
      </c>
      <c r="H4" s="3" t="s">
        <v>58</v>
      </c>
    </row>
    <row r="5" customFormat="false" ht="15" hidden="false" customHeight="false" outlineLevel="0" collapsed="false">
      <c r="A5" s="4" t="s">
        <v>133</v>
      </c>
      <c r="B5" s="4" t="s">
        <v>23</v>
      </c>
      <c r="C5" s="4" t="s">
        <v>93</v>
      </c>
      <c r="D5" s="4" t="s">
        <v>254</v>
      </c>
      <c r="E5" s="5" t="n">
        <v>15189</v>
      </c>
      <c r="F5" s="5" t="n">
        <v>15189</v>
      </c>
      <c r="G5" s="5" t="n">
        <v>1367.01</v>
      </c>
      <c r="H5" s="4"/>
    </row>
    <row r="6" customFormat="false" ht="15" hidden="false" customHeight="false" outlineLevel="0" collapsed="false">
      <c r="A6" s="7" t="s">
        <v>250</v>
      </c>
      <c r="B6" s="6"/>
      <c r="C6" s="6"/>
      <c r="D6" s="6"/>
      <c r="E6" s="6"/>
      <c r="F6" s="6"/>
      <c r="G6" s="8" t="n">
        <f aca="false">SUM(G5:G5)</f>
        <v>1367.01</v>
      </c>
      <c r="H6" s="6"/>
    </row>
    <row r="7" customFormat="false" ht="15" hidden="false" customHeight="false" outlineLevel="0" collapsed="false">
      <c r="A7" s="4" t="s">
        <v>11</v>
      </c>
      <c r="G7" s="5" t="n">
        <f aca="false">SUMIFS(Adjustments!$D:$D,Adjustments!$A:$A,"Kerrigan Simpson")</f>
        <v>0</v>
      </c>
    </row>
    <row r="8" customFormat="false" ht="15" hidden="false" customHeight="false" outlineLevel="0" collapsed="false">
      <c r="A8" s="11" t="s">
        <v>251</v>
      </c>
      <c r="G8" s="13" t="n">
        <f aca="false">G6+G7</f>
        <v>1367.01</v>
      </c>
    </row>
    <row r="9" customFormat="false" ht="15" hidden="false" customHeight="false" outlineLevel="0" collapsed="false">
      <c r="A9" s="11" t="s">
        <v>258</v>
      </c>
    </row>
    <row r="10" customFormat="false" ht="15" hidden="false" customHeight="false" outlineLevel="0" collapsed="false">
      <c r="A10" s="3" t="s">
        <v>53</v>
      </c>
      <c r="B10" s="3" t="s">
        <v>4</v>
      </c>
      <c r="C10" s="3" t="s">
        <v>54</v>
      </c>
      <c r="D10" s="3" t="s">
        <v>187</v>
      </c>
      <c r="E10" s="3" t="s">
        <v>184</v>
      </c>
      <c r="F10" s="3" t="s">
        <v>188</v>
      </c>
      <c r="G10" s="3" t="s">
        <v>189</v>
      </c>
      <c r="H10" s="3" t="s">
        <v>190</v>
      </c>
      <c r="I10" s="3" t="s">
        <v>191</v>
      </c>
    </row>
    <row r="11" customFormat="false" ht="15" hidden="false" customHeight="false" outlineLevel="0" collapsed="false">
      <c r="A11" s="4" t="s">
        <v>198</v>
      </c>
      <c r="B11" s="4" t="s">
        <v>16</v>
      </c>
      <c r="C11" s="4" t="s">
        <v>199</v>
      </c>
      <c r="D11" s="4" t="s">
        <v>75</v>
      </c>
      <c r="E11" s="4" t="s">
        <v>194</v>
      </c>
      <c r="F11" s="4" t="s">
        <v>200</v>
      </c>
      <c r="G11" s="4" t="s">
        <v>196</v>
      </c>
      <c r="H11" s="4" t="s">
        <v>201</v>
      </c>
      <c r="I11" s="5" t="n">
        <v>1323.81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6" min="5" style="0" width="15"/>
    <col collapsed="false" customWidth="true" hidden="false" outlineLevel="0" max="7" min="7" style="0" width="13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36</v>
      </c>
      <c r="B1" s="11" t="s">
        <v>245</v>
      </c>
    </row>
    <row r="2" customFormat="false" ht="15" hidden="false" customHeight="false" outlineLevel="0" collapsed="false">
      <c r="A2" s="2" t="s">
        <v>246</v>
      </c>
    </row>
    <row r="4" customFormat="false" ht="15" hidden="false" customHeight="false" outlineLevel="0" collapsed="false">
      <c r="A4" s="3" t="s">
        <v>53</v>
      </c>
      <c r="B4" s="3" t="s">
        <v>4</v>
      </c>
      <c r="C4" s="3" t="s">
        <v>54</v>
      </c>
      <c r="D4" s="3" t="s">
        <v>52</v>
      </c>
      <c r="E4" s="3" t="s">
        <v>55</v>
      </c>
      <c r="F4" s="3" t="s">
        <v>56</v>
      </c>
      <c r="G4" s="3" t="s">
        <v>57</v>
      </c>
      <c r="H4" s="3" t="s">
        <v>58</v>
      </c>
    </row>
    <row r="5" customFormat="false" ht="15" hidden="false" customHeight="false" outlineLevel="0" collapsed="false">
      <c r="A5" s="4" t="s">
        <v>164</v>
      </c>
      <c r="B5" s="4" t="s">
        <v>16</v>
      </c>
      <c r="C5" s="4" t="s">
        <v>103</v>
      </c>
      <c r="D5" s="4" t="s">
        <v>259</v>
      </c>
      <c r="E5" s="5" t="n">
        <v>25904</v>
      </c>
      <c r="F5" s="5" t="n">
        <v>25904</v>
      </c>
      <c r="G5" s="5" t="n">
        <v>518.08</v>
      </c>
      <c r="H5" s="4" t="s">
        <v>101</v>
      </c>
    </row>
    <row r="6" customFormat="false" ht="15" hidden="false" customHeight="false" outlineLevel="0" collapsed="false">
      <c r="A6" s="4" t="s">
        <v>165</v>
      </c>
      <c r="B6" s="4" t="s">
        <v>16</v>
      </c>
      <c r="C6" s="4" t="s">
        <v>103</v>
      </c>
      <c r="D6" s="4" t="s">
        <v>259</v>
      </c>
      <c r="E6" s="5" t="n">
        <v>10988</v>
      </c>
      <c r="F6" s="5" t="n">
        <v>10988</v>
      </c>
      <c r="G6" s="5" t="n">
        <v>219.76</v>
      </c>
      <c r="H6" s="4" t="s">
        <v>101</v>
      </c>
    </row>
    <row r="7" customFormat="false" ht="15" hidden="false" customHeight="false" outlineLevel="0" collapsed="false">
      <c r="A7" s="4" t="s">
        <v>166</v>
      </c>
      <c r="B7" s="4" t="s">
        <v>16</v>
      </c>
      <c r="C7" s="4" t="s">
        <v>65</v>
      </c>
      <c r="D7" s="4" t="s">
        <v>259</v>
      </c>
      <c r="E7" s="5" t="n">
        <v>20817</v>
      </c>
      <c r="F7" s="5" t="n">
        <v>20817</v>
      </c>
      <c r="G7" s="5" t="n">
        <v>416.34</v>
      </c>
      <c r="H7" s="4" t="s">
        <v>159</v>
      </c>
    </row>
    <row r="8" customFormat="false" ht="15" hidden="false" customHeight="false" outlineLevel="0" collapsed="false">
      <c r="A8" s="4" t="s">
        <v>167</v>
      </c>
      <c r="B8" s="4" t="s">
        <v>16</v>
      </c>
      <c r="C8" s="4" t="s">
        <v>142</v>
      </c>
      <c r="D8" s="4" t="s">
        <v>259</v>
      </c>
      <c r="E8" s="5" t="n">
        <v>7448</v>
      </c>
      <c r="F8" s="5" t="n">
        <v>7448</v>
      </c>
      <c r="G8" s="5" t="n">
        <v>148.96</v>
      </c>
      <c r="H8" s="4" t="s">
        <v>159</v>
      </c>
    </row>
    <row r="9" customFormat="false" ht="15" hidden="false" customHeight="false" outlineLevel="0" collapsed="false">
      <c r="A9" s="7" t="s">
        <v>250</v>
      </c>
      <c r="B9" s="6"/>
      <c r="C9" s="6"/>
      <c r="D9" s="6"/>
      <c r="E9" s="6"/>
      <c r="F9" s="6"/>
      <c r="G9" s="8" t="n">
        <f aca="false">SUM(G5:G8)</f>
        <v>1303.14</v>
      </c>
      <c r="H9" s="6"/>
    </row>
    <row r="10" customFormat="false" ht="15" hidden="false" customHeight="false" outlineLevel="0" collapsed="false">
      <c r="A10" s="4" t="s">
        <v>11</v>
      </c>
      <c r="G10" s="5" t="n">
        <f aca="false">SUMIFS(Adjustments!$D:$D,Adjustments!$A:$A,"Camille Gerritsen")</f>
        <v>0</v>
      </c>
    </row>
    <row r="11" customFormat="false" ht="15" hidden="false" customHeight="false" outlineLevel="0" collapsed="false">
      <c r="A11" s="11" t="s">
        <v>251</v>
      </c>
      <c r="G11" s="13" t="n">
        <f aca="false">G9+G10</f>
        <v>1303.14</v>
      </c>
    </row>
    <row r="12" customFormat="false" ht="15" hidden="false" customHeight="false" outlineLevel="0" collapsed="false">
      <c r="A12" s="11" t="s">
        <v>258</v>
      </c>
    </row>
    <row r="13" customFormat="false" ht="15" hidden="false" customHeight="false" outlineLevel="0" collapsed="false">
      <c r="A13" s="3" t="s">
        <v>53</v>
      </c>
      <c r="B13" s="3" t="s">
        <v>4</v>
      </c>
      <c r="C13" s="3" t="s">
        <v>54</v>
      </c>
      <c r="D13" s="3" t="s">
        <v>187</v>
      </c>
      <c r="E13" s="3" t="s">
        <v>184</v>
      </c>
      <c r="F13" s="3" t="s">
        <v>188</v>
      </c>
      <c r="G13" s="3" t="s">
        <v>189</v>
      </c>
      <c r="H13" s="3" t="s">
        <v>190</v>
      </c>
      <c r="I13" s="3" t="s">
        <v>191</v>
      </c>
    </row>
    <row r="14" customFormat="false" ht="15" hidden="false" customHeight="false" outlineLevel="0" collapsed="false">
      <c r="A14" s="4" t="s">
        <v>198</v>
      </c>
      <c r="B14" s="4" t="s">
        <v>16</v>
      </c>
      <c r="C14" s="4" t="s">
        <v>199</v>
      </c>
      <c r="D14" s="4" t="s">
        <v>132</v>
      </c>
      <c r="E14" s="4" t="s">
        <v>194</v>
      </c>
      <c r="F14" s="4" t="s">
        <v>200</v>
      </c>
      <c r="G14" s="4" t="s">
        <v>196</v>
      </c>
      <c r="H14" s="4" t="s">
        <v>201</v>
      </c>
      <c r="I14" s="5" t="n">
        <v>735.45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6" min="5" style="0" width="15"/>
    <col collapsed="false" customWidth="true" hidden="false" outlineLevel="0" max="7" min="7" style="0" width="13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37</v>
      </c>
      <c r="B1" s="11" t="s">
        <v>245</v>
      </c>
    </row>
    <row r="2" customFormat="false" ht="15" hidden="false" customHeight="false" outlineLevel="0" collapsed="false">
      <c r="A2" s="2" t="s">
        <v>255</v>
      </c>
    </row>
    <row r="4" customFormat="false" ht="15" hidden="false" customHeight="false" outlineLevel="0" collapsed="false">
      <c r="A4" s="3" t="s">
        <v>53</v>
      </c>
      <c r="B4" s="3" t="s">
        <v>4</v>
      </c>
      <c r="C4" s="3" t="s">
        <v>54</v>
      </c>
      <c r="D4" s="3" t="s">
        <v>52</v>
      </c>
      <c r="E4" s="3" t="s">
        <v>55</v>
      </c>
      <c r="F4" s="3" t="s">
        <v>56</v>
      </c>
      <c r="G4" s="3" t="s">
        <v>57</v>
      </c>
      <c r="H4" s="3" t="s">
        <v>58</v>
      </c>
    </row>
    <row r="5" customFormat="false" ht="15" hidden="false" customHeight="false" outlineLevel="0" collapsed="false">
      <c r="A5" s="4" t="s">
        <v>168</v>
      </c>
      <c r="B5" s="4" t="s">
        <v>21</v>
      </c>
      <c r="C5" s="4" t="s">
        <v>65</v>
      </c>
      <c r="D5" s="4" t="s">
        <v>259</v>
      </c>
      <c r="E5" s="5" t="n">
        <v>15127</v>
      </c>
      <c r="F5" s="5" t="n">
        <v>15127</v>
      </c>
      <c r="G5" s="5" t="n">
        <v>302.54</v>
      </c>
      <c r="H5" s="4" t="s">
        <v>159</v>
      </c>
    </row>
    <row r="6" customFormat="false" ht="15" hidden="false" customHeight="false" outlineLevel="0" collapsed="false">
      <c r="A6" s="4" t="s">
        <v>169</v>
      </c>
      <c r="B6" s="4" t="s">
        <v>21</v>
      </c>
      <c r="C6" s="4" t="s">
        <v>140</v>
      </c>
      <c r="D6" s="4" t="s">
        <v>259</v>
      </c>
      <c r="E6" s="5" t="n">
        <v>9869</v>
      </c>
      <c r="F6" s="5" t="n">
        <v>9869</v>
      </c>
      <c r="G6" s="5" t="n">
        <v>197.38</v>
      </c>
      <c r="H6" s="4" t="s">
        <v>159</v>
      </c>
    </row>
    <row r="7" customFormat="false" ht="15" hidden="false" customHeight="false" outlineLevel="0" collapsed="false">
      <c r="A7" s="7" t="s">
        <v>250</v>
      </c>
      <c r="B7" s="6"/>
      <c r="C7" s="6"/>
      <c r="D7" s="6"/>
      <c r="E7" s="6"/>
      <c r="F7" s="6"/>
      <c r="G7" s="8" t="n">
        <f aca="false">SUM(G5:G6)</f>
        <v>499.92</v>
      </c>
      <c r="H7" s="6"/>
    </row>
    <row r="8" customFormat="false" ht="15" hidden="false" customHeight="false" outlineLevel="0" collapsed="false">
      <c r="A8" s="4" t="s">
        <v>11</v>
      </c>
      <c r="G8" s="5" t="n">
        <f aca="false">SUMIFS(Adjustments!$D:$D,Adjustments!$A:$A,"Ethan Saxton")</f>
        <v>0</v>
      </c>
    </row>
    <row r="9" customFormat="false" ht="15" hidden="false" customHeight="false" outlineLevel="0" collapsed="false">
      <c r="A9" s="11" t="s">
        <v>251</v>
      </c>
      <c r="G9" s="13" t="n">
        <f aca="false">G7+G8</f>
        <v>499.92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6" min="5" style="0" width="15"/>
    <col collapsed="false" customWidth="true" hidden="false" outlineLevel="0" max="7" min="7" style="0" width="13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38</v>
      </c>
      <c r="B1" s="11" t="s">
        <v>245</v>
      </c>
    </row>
    <row r="2" customFormat="false" ht="15" hidden="false" customHeight="false" outlineLevel="0" collapsed="false">
      <c r="A2" s="2" t="s">
        <v>255</v>
      </c>
    </row>
    <row r="4" customFormat="false" ht="15" hidden="false" customHeight="false" outlineLevel="0" collapsed="false">
      <c r="A4" s="3" t="s">
        <v>53</v>
      </c>
      <c r="B4" s="3" t="s">
        <v>4</v>
      </c>
      <c r="C4" s="3" t="s">
        <v>54</v>
      </c>
      <c r="D4" s="3" t="s">
        <v>52</v>
      </c>
      <c r="E4" s="3" t="s">
        <v>55</v>
      </c>
      <c r="F4" s="3" t="s">
        <v>56</v>
      </c>
      <c r="G4" s="3" t="s">
        <v>57</v>
      </c>
      <c r="H4" s="3" t="s">
        <v>58</v>
      </c>
    </row>
    <row r="5" customFormat="false" ht="15" hidden="false" customHeight="false" outlineLevel="0" collapsed="false">
      <c r="A5" s="4" t="s">
        <v>170</v>
      </c>
      <c r="B5" s="4" t="s">
        <v>21</v>
      </c>
      <c r="C5" s="4" t="s">
        <v>140</v>
      </c>
      <c r="D5" s="4" t="s">
        <v>259</v>
      </c>
      <c r="E5" s="5" t="n">
        <v>25350</v>
      </c>
      <c r="F5" s="5" t="n">
        <v>25350</v>
      </c>
      <c r="G5" s="5" t="n">
        <v>507</v>
      </c>
      <c r="H5" s="4" t="s">
        <v>159</v>
      </c>
    </row>
    <row r="6" customFormat="false" ht="15" hidden="false" customHeight="false" outlineLevel="0" collapsed="false">
      <c r="A6" s="4" t="s">
        <v>171</v>
      </c>
      <c r="B6" s="4" t="s">
        <v>21</v>
      </c>
      <c r="C6" s="4" t="s">
        <v>142</v>
      </c>
      <c r="D6" s="4" t="s">
        <v>259</v>
      </c>
      <c r="E6" s="5" t="n">
        <v>31755</v>
      </c>
      <c r="F6" s="5" t="n">
        <v>31755</v>
      </c>
      <c r="G6" s="5" t="n">
        <v>635.1</v>
      </c>
      <c r="H6" s="4" t="s">
        <v>159</v>
      </c>
    </row>
    <row r="7" customFormat="false" ht="15" hidden="false" customHeight="false" outlineLevel="0" collapsed="false">
      <c r="A7" s="7" t="s">
        <v>250</v>
      </c>
      <c r="B7" s="6"/>
      <c r="C7" s="6"/>
      <c r="D7" s="6"/>
      <c r="E7" s="6"/>
      <c r="F7" s="6"/>
      <c r="G7" s="8" t="n">
        <f aca="false">SUM(G5:G6)</f>
        <v>1142.1</v>
      </c>
      <c r="H7" s="6"/>
    </row>
    <row r="8" customFormat="false" ht="15" hidden="false" customHeight="false" outlineLevel="0" collapsed="false">
      <c r="A8" s="4" t="s">
        <v>11</v>
      </c>
      <c r="G8" s="5" t="n">
        <f aca="false">SUMIFS(Adjustments!$D:$D,Adjustments!$A:$A,"Kress Johnson")</f>
        <v>0</v>
      </c>
    </row>
    <row r="9" customFormat="false" ht="15" hidden="false" customHeight="false" outlineLevel="0" collapsed="false">
      <c r="A9" s="11" t="s">
        <v>251</v>
      </c>
      <c r="G9" s="13" t="n">
        <f aca="false">G7+G8</f>
        <v>1142.1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6" min="5" style="0" width="15"/>
    <col collapsed="false" customWidth="true" hidden="false" outlineLevel="0" max="7" min="7" style="0" width="13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39</v>
      </c>
      <c r="B1" s="11" t="s">
        <v>245</v>
      </c>
    </row>
    <row r="2" customFormat="false" ht="15" hidden="false" customHeight="false" outlineLevel="0" collapsed="false">
      <c r="A2" s="2" t="s">
        <v>246</v>
      </c>
    </row>
    <row r="4" customFormat="false" ht="15" hidden="false" customHeight="false" outlineLevel="0" collapsed="false">
      <c r="A4" s="3" t="s">
        <v>53</v>
      </c>
      <c r="B4" s="3" t="s">
        <v>4</v>
      </c>
      <c r="C4" s="3" t="s">
        <v>54</v>
      </c>
      <c r="D4" s="3" t="s">
        <v>52</v>
      </c>
      <c r="E4" s="3" t="s">
        <v>55</v>
      </c>
      <c r="F4" s="3" t="s">
        <v>56</v>
      </c>
      <c r="G4" s="3" t="s">
        <v>57</v>
      </c>
      <c r="H4" s="3" t="s">
        <v>58</v>
      </c>
    </row>
    <row r="5" customFormat="false" ht="15" hidden="false" customHeight="false" outlineLevel="0" collapsed="false">
      <c r="A5" s="4" t="s">
        <v>60</v>
      </c>
      <c r="B5" s="4" t="s">
        <v>16</v>
      </c>
      <c r="C5" s="4" t="s">
        <v>61</v>
      </c>
      <c r="D5" s="4" t="s">
        <v>253</v>
      </c>
      <c r="E5" s="5" t="n">
        <v>4400</v>
      </c>
      <c r="F5" s="5" t="n">
        <v>4400</v>
      </c>
      <c r="G5" s="5" t="n">
        <v>-866.34</v>
      </c>
      <c r="H5" s="4" t="s">
        <v>62</v>
      </c>
    </row>
    <row r="6" customFormat="false" ht="15" hidden="false" customHeight="false" outlineLevel="0" collapsed="false">
      <c r="A6" s="4" t="s">
        <v>172</v>
      </c>
      <c r="B6" s="4" t="s">
        <v>16</v>
      </c>
      <c r="C6" s="4" t="s">
        <v>173</v>
      </c>
      <c r="D6" s="4" t="s">
        <v>248</v>
      </c>
      <c r="E6" s="5" t="n">
        <v>4760</v>
      </c>
      <c r="F6" s="5" t="n">
        <v>4760</v>
      </c>
      <c r="G6" s="5" t="n">
        <v>190.4</v>
      </c>
      <c r="H6" s="4" t="s">
        <v>66</v>
      </c>
    </row>
    <row r="7" customFormat="false" ht="15" hidden="false" customHeight="false" outlineLevel="0" collapsed="false">
      <c r="A7" s="4" t="s">
        <v>174</v>
      </c>
      <c r="B7" s="4" t="s">
        <v>16</v>
      </c>
      <c r="C7" s="4" t="s">
        <v>65</v>
      </c>
      <c r="D7" s="4" t="s">
        <v>248</v>
      </c>
      <c r="E7" s="5" t="n">
        <v>25357</v>
      </c>
      <c r="F7" s="5" t="n">
        <v>25357</v>
      </c>
      <c r="G7" s="5" t="n">
        <v>1014.28</v>
      </c>
      <c r="H7" s="4" t="s">
        <v>66</v>
      </c>
    </row>
    <row r="8" customFormat="false" ht="15" hidden="false" customHeight="false" outlineLevel="0" collapsed="false">
      <c r="A8" s="4" t="s">
        <v>175</v>
      </c>
      <c r="B8" s="4" t="s">
        <v>16</v>
      </c>
      <c r="C8" s="4" t="s">
        <v>71</v>
      </c>
      <c r="D8" s="4" t="s">
        <v>248</v>
      </c>
      <c r="E8" s="5" t="n">
        <v>16030</v>
      </c>
      <c r="F8" s="5" t="n">
        <v>16030</v>
      </c>
      <c r="G8" s="5" t="n">
        <v>641.2</v>
      </c>
      <c r="H8" s="4" t="s">
        <v>66</v>
      </c>
    </row>
    <row r="9" customFormat="false" ht="15" hidden="false" customHeight="false" outlineLevel="0" collapsed="false">
      <c r="A9" s="7" t="s">
        <v>250</v>
      </c>
      <c r="B9" s="6"/>
      <c r="C9" s="6"/>
      <c r="D9" s="6"/>
      <c r="E9" s="6"/>
      <c r="F9" s="6"/>
      <c r="G9" s="8" t="n">
        <f aca="false">SUM(G5:G8)</f>
        <v>979.54</v>
      </c>
      <c r="H9" s="6"/>
    </row>
    <row r="10" customFormat="false" ht="15" hidden="false" customHeight="false" outlineLevel="0" collapsed="false">
      <c r="A10" s="4" t="s">
        <v>11</v>
      </c>
      <c r="G10" s="5" t="n">
        <f aca="false">SUMIFS(Adjustments!$D:$D,Adjustments!$A:$A,"Dane Covington")</f>
        <v>0</v>
      </c>
    </row>
    <row r="11" customFormat="false" ht="15" hidden="false" customHeight="false" outlineLevel="0" collapsed="false">
      <c r="A11" s="11" t="s">
        <v>251</v>
      </c>
      <c r="G11" s="13" t="n">
        <f aca="false">G9+G10</f>
        <v>979.54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6" min="5" style="0" width="15"/>
    <col collapsed="false" customWidth="true" hidden="false" outlineLevel="0" max="7" min="7" style="0" width="13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40</v>
      </c>
      <c r="B1" s="11" t="s">
        <v>245</v>
      </c>
    </row>
    <row r="2" customFormat="false" ht="15" hidden="false" customHeight="false" outlineLevel="0" collapsed="false">
      <c r="A2" s="2" t="s">
        <v>255</v>
      </c>
    </row>
    <row r="4" customFormat="false" ht="15" hidden="false" customHeight="false" outlineLevel="0" collapsed="false">
      <c r="A4" s="3" t="s">
        <v>53</v>
      </c>
      <c r="B4" s="3" t="s">
        <v>4</v>
      </c>
      <c r="C4" s="3" t="s">
        <v>54</v>
      </c>
      <c r="D4" s="3" t="s">
        <v>52</v>
      </c>
      <c r="E4" s="3" t="s">
        <v>55</v>
      </c>
      <c r="F4" s="3" t="s">
        <v>56</v>
      </c>
      <c r="G4" s="3" t="s">
        <v>57</v>
      </c>
      <c r="H4" s="3" t="s">
        <v>58</v>
      </c>
    </row>
    <row r="5" customFormat="false" ht="15" hidden="false" customHeight="false" outlineLevel="0" collapsed="false">
      <c r="A5" s="4" t="s">
        <v>176</v>
      </c>
      <c r="B5" s="4" t="s">
        <v>21</v>
      </c>
      <c r="C5" s="4" t="s">
        <v>65</v>
      </c>
      <c r="D5" s="4" t="s">
        <v>259</v>
      </c>
      <c r="E5" s="5" t="n">
        <v>20226</v>
      </c>
      <c r="F5" s="5" t="n">
        <v>20226</v>
      </c>
      <c r="G5" s="5" t="n">
        <v>404.52</v>
      </c>
      <c r="H5" s="4" t="s">
        <v>159</v>
      </c>
    </row>
    <row r="6" customFormat="false" ht="15" hidden="false" customHeight="false" outlineLevel="0" collapsed="false">
      <c r="A6" s="4" t="s">
        <v>177</v>
      </c>
      <c r="B6" s="4" t="s">
        <v>21</v>
      </c>
      <c r="C6" s="4" t="s">
        <v>68</v>
      </c>
      <c r="D6" s="4" t="s">
        <v>259</v>
      </c>
      <c r="E6" s="5" t="n">
        <v>24813</v>
      </c>
      <c r="F6" s="5" t="n">
        <v>24813</v>
      </c>
      <c r="G6" s="5" t="n">
        <v>496.26</v>
      </c>
      <c r="H6" s="4" t="s">
        <v>159</v>
      </c>
    </row>
    <row r="7" customFormat="false" ht="15" hidden="false" customHeight="false" outlineLevel="0" collapsed="false">
      <c r="A7" s="7" t="s">
        <v>250</v>
      </c>
      <c r="B7" s="6"/>
      <c r="C7" s="6"/>
      <c r="D7" s="6"/>
      <c r="E7" s="6"/>
      <c r="F7" s="6"/>
      <c r="G7" s="8" t="n">
        <f aca="false">SUM(G5:G6)</f>
        <v>900.78</v>
      </c>
      <c r="H7" s="6"/>
    </row>
    <row r="8" customFormat="false" ht="15" hidden="false" customHeight="false" outlineLevel="0" collapsed="false">
      <c r="A8" s="4" t="s">
        <v>11</v>
      </c>
      <c r="G8" s="5" t="n">
        <f aca="false">SUMIFS(Adjustments!$D:$D,Adjustments!$A:$A,"Diane Oswald")</f>
        <v>0</v>
      </c>
    </row>
    <row r="9" customFormat="false" ht="15" hidden="false" customHeight="false" outlineLevel="0" collapsed="false">
      <c r="A9" s="11" t="s">
        <v>251</v>
      </c>
      <c r="G9" s="13" t="n">
        <f aca="false">G7+G8</f>
        <v>900.78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6" min="5" style="0" width="15"/>
    <col collapsed="false" customWidth="true" hidden="false" outlineLevel="0" max="7" min="7" style="0" width="13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41</v>
      </c>
      <c r="B1" s="11" t="s">
        <v>245</v>
      </c>
    </row>
    <row r="2" customFormat="false" ht="15" hidden="false" customHeight="false" outlineLevel="0" collapsed="false">
      <c r="A2" s="2" t="s">
        <v>256</v>
      </c>
    </row>
    <row r="4" customFormat="false" ht="15" hidden="false" customHeight="false" outlineLevel="0" collapsed="false">
      <c r="A4" s="3" t="s">
        <v>53</v>
      </c>
      <c r="B4" s="3" t="s">
        <v>4</v>
      </c>
      <c r="C4" s="3" t="s">
        <v>54</v>
      </c>
      <c r="D4" s="3" t="s">
        <v>52</v>
      </c>
      <c r="E4" s="3" t="s">
        <v>55</v>
      </c>
      <c r="F4" s="3" t="s">
        <v>56</v>
      </c>
      <c r="G4" s="3" t="s">
        <v>57</v>
      </c>
      <c r="H4" s="3" t="s">
        <v>58</v>
      </c>
    </row>
    <row r="5" customFormat="false" ht="15" hidden="false" customHeight="false" outlineLevel="0" collapsed="false">
      <c r="A5" s="4" t="s">
        <v>105</v>
      </c>
      <c r="B5" s="4" t="s">
        <v>23</v>
      </c>
      <c r="C5" s="4" t="s">
        <v>106</v>
      </c>
      <c r="D5" s="4" t="s">
        <v>260</v>
      </c>
      <c r="E5" s="5" t="n">
        <v>12935</v>
      </c>
      <c r="F5" s="5" t="n">
        <v>12935</v>
      </c>
      <c r="G5" s="5" t="n">
        <v>646.75</v>
      </c>
      <c r="H5" s="4" t="s">
        <v>78</v>
      </c>
    </row>
    <row r="6" customFormat="false" ht="15" hidden="false" customHeight="false" outlineLevel="0" collapsed="false">
      <c r="A6" s="7" t="s">
        <v>250</v>
      </c>
      <c r="B6" s="6"/>
      <c r="C6" s="6"/>
      <c r="D6" s="6"/>
      <c r="E6" s="6"/>
      <c r="F6" s="6"/>
      <c r="G6" s="8" t="n">
        <f aca="false">SUM(G5:G5)</f>
        <v>646.75</v>
      </c>
      <c r="H6" s="6"/>
    </row>
    <row r="7" customFormat="false" ht="15" hidden="false" customHeight="false" outlineLevel="0" collapsed="false">
      <c r="A7" s="4" t="s">
        <v>11</v>
      </c>
      <c r="G7" s="5" t="n">
        <f aca="false">SUMIFS(Adjustments!$D:$D,Adjustments!$A:$A,"Travis Dykman")</f>
        <v>0</v>
      </c>
    </row>
    <row r="8" customFormat="false" ht="15" hidden="false" customHeight="false" outlineLevel="0" collapsed="false">
      <c r="A8" s="11" t="s">
        <v>251</v>
      </c>
      <c r="G8" s="13" t="n">
        <f aca="false">G6+G7</f>
        <v>646.75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6" min="5" style="0" width="15"/>
    <col collapsed="false" customWidth="true" hidden="false" outlineLevel="0" max="7" min="7" style="0" width="13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42</v>
      </c>
      <c r="B1" s="11" t="s">
        <v>245</v>
      </c>
    </row>
    <row r="2" customFormat="false" ht="15" hidden="false" customHeight="false" outlineLevel="0" collapsed="false">
      <c r="A2" s="2" t="s">
        <v>256</v>
      </c>
    </row>
    <row r="4" customFormat="false" ht="15" hidden="false" customHeight="false" outlineLevel="0" collapsed="false">
      <c r="A4" s="3" t="s">
        <v>53</v>
      </c>
      <c r="B4" s="3" t="s">
        <v>4</v>
      </c>
      <c r="C4" s="3" t="s">
        <v>54</v>
      </c>
      <c r="D4" s="3" t="s">
        <v>52</v>
      </c>
      <c r="E4" s="3" t="s">
        <v>55</v>
      </c>
      <c r="F4" s="3" t="s">
        <v>56</v>
      </c>
      <c r="G4" s="3" t="s">
        <v>57</v>
      </c>
      <c r="H4" s="3" t="s">
        <v>58</v>
      </c>
    </row>
    <row r="5" customFormat="false" ht="15" hidden="false" customHeight="false" outlineLevel="0" collapsed="false">
      <c r="A5" s="4" t="s">
        <v>178</v>
      </c>
      <c r="B5" s="4" t="s">
        <v>23</v>
      </c>
      <c r="C5" s="4" t="s">
        <v>112</v>
      </c>
      <c r="D5" s="4" t="s">
        <v>259</v>
      </c>
      <c r="E5" s="5" t="n">
        <v>13441</v>
      </c>
      <c r="F5" s="5" t="n">
        <v>13441</v>
      </c>
      <c r="G5" s="5" t="n">
        <v>268.82</v>
      </c>
      <c r="H5" s="4" t="s">
        <v>127</v>
      </c>
    </row>
    <row r="6" customFormat="false" ht="15" hidden="false" customHeight="false" outlineLevel="0" collapsed="false">
      <c r="A6" s="4" t="s">
        <v>179</v>
      </c>
      <c r="B6" s="4" t="s">
        <v>23</v>
      </c>
      <c r="C6" s="4" t="s">
        <v>112</v>
      </c>
      <c r="D6" s="4" t="s">
        <v>259</v>
      </c>
      <c r="E6" s="5" t="n">
        <v>6095</v>
      </c>
      <c r="F6" s="5" t="n">
        <v>6095</v>
      </c>
      <c r="G6" s="5" t="n">
        <v>121.9</v>
      </c>
      <c r="H6" s="4" t="s">
        <v>127</v>
      </c>
    </row>
    <row r="7" customFormat="false" ht="15" hidden="false" customHeight="false" outlineLevel="0" collapsed="false">
      <c r="A7" s="7" t="s">
        <v>250</v>
      </c>
      <c r="B7" s="6"/>
      <c r="C7" s="6"/>
      <c r="D7" s="6"/>
      <c r="E7" s="6"/>
      <c r="F7" s="6"/>
      <c r="G7" s="8" t="n">
        <f aca="false">SUM(G5:G6)</f>
        <v>390.72</v>
      </c>
      <c r="H7" s="6"/>
    </row>
    <row r="8" customFormat="false" ht="15" hidden="false" customHeight="false" outlineLevel="0" collapsed="false">
      <c r="A8" s="4" t="s">
        <v>11</v>
      </c>
      <c r="G8" s="5" t="n">
        <f aca="false">SUMIFS(Adjustments!$D:$D,Adjustments!$A:$A,"Alan Fransen")</f>
        <v>0</v>
      </c>
    </row>
    <row r="9" customFormat="false" ht="15" hidden="false" customHeight="false" outlineLevel="0" collapsed="false">
      <c r="A9" s="11" t="s">
        <v>251</v>
      </c>
      <c r="G9" s="13" t="n">
        <f aca="false">G7+G8</f>
        <v>390.72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6" min="5" style="0" width="15"/>
    <col collapsed="false" customWidth="true" hidden="false" outlineLevel="0" max="7" min="7" style="0" width="13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43</v>
      </c>
      <c r="B1" s="11" t="s">
        <v>245</v>
      </c>
    </row>
    <row r="2" customFormat="false" ht="15" hidden="false" customHeight="false" outlineLevel="0" collapsed="false">
      <c r="A2" s="2" t="s">
        <v>246</v>
      </c>
    </row>
    <row r="4" customFormat="false" ht="15" hidden="false" customHeight="false" outlineLevel="0" collapsed="false">
      <c r="A4" s="3" t="s">
        <v>53</v>
      </c>
      <c r="B4" s="3" t="s">
        <v>4</v>
      </c>
      <c r="C4" s="3" t="s">
        <v>54</v>
      </c>
      <c r="D4" s="3" t="s">
        <v>52</v>
      </c>
      <c r="E4" s="3" t="s">
        <v>55</v>
      </c>
      <c r="F4" s="3" t="s">
        <v>56</v>
      </c>
      <c r="G4" s="3" t="s">
        <v>57</v>
      </c>
      <c r="H4" s="3" t="s">
        <v>58</v>
      </c>
    </row>
    <row r="5" customFormat="false" ht="15" hidden="false" customHeight="false" outlineLevel="0" collapsed="false">
      <c r="A5" s="4" t="s">
        <v>157</v>
      </c>
      <c r="B5" s="4" t="s">
        <v>16</v>
      </c>
      <c r="C5" s="4" t="s">
        <v>93</v>
      </c>
      <c r="D5" s="4" t="s">
        <v>254</v>
      </c>
      <c r="E5" s="5" t="n">
        <v>3534</v>
      </c>
      <c r="F5" s="5" t="n">
        <v>3534</v>
      </c>
      <c r="G5" s="5" t="n">
        <v>318.06</v>
      </c>
      <c r="H5" s="4"/>
    </row>
    <row r="6" customFormat="false" ht="15" hidden="false" customHeight="false" outlineLevel="0" collapsed="false">
      <c r="A6" s="7" t="s">
        <v>250</v>
      </c>
      <c r="B6" s="6"/>
      <c r="C6" s="6"/>
      <c r="D6" s="6"/>
      <c r="E6" s="6"/>
      <c r="F6" s="6"/>
      <c r="G6" s="8" t="n">
        <f aca="false">SUM(G5:G5)</f>
        <v>318.06</v>
      </c>
      <c r="H6" s="6"/>
    </row>
    <row r="7" customFormat="false" ht="15" hidden="false" customHeight="false" outlineLevel="0" collapsed="false">
      <c r="A7" s="4" t="s">
        <v>11</v>
      </c>
      <c r="G7" s="5" t="n">
        <f aca="false">SUMIFS(Adjustments!$D:$D,Adjustments!$A:$A,"Terry Xanthos")</f>
        <v>0</v>
      </c>
    </row>
    <row r="8" customFormat="false" ht="15" hidden="false" customHeight="false" outlineLevel="0" collapsed="false">
      <c r="A8" s="11" t="s">
        <v>251</v>
      </c>
      <c r="G8" s="13" t="n">
        <f aca="false">G6+G7</f>
        <v>318.06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6" min="5" style="0" width="15"/>
    <col collapsed="false" customWidth="true" hidden="false" outlineLevel="0" max="7" min="7" style="0" width="13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44</v>
      </c>
      <c r="B1" s="11" t="s">
        <v>245</v>
      </c>
    </row>
    <row r="2" customFormat="false" ht="15" hidden="false" customHeight="false" outlineLevel="0" collapsed="false">
      <c r="A2" s="2" t="s">
        <v>256</v>
      </c>
    </row>
    <row r="4" customFormat="false" ht="15" hidden="false" customHeight="false" outlineLevel="0" collapsed="false">
      <c r="A4" s="3" t="s">
        <v>53</v>
      </c>
      <c r="B4" s="3" t="s">
        <v>4</v>
      </c>
      <c r="C4" s="3" t="s">
        <v>54</v>
      </c>
      <c r="D4" s="3" t="s">
        <v>52</v>
      </c>
      <c r="E4" s="3" t="s">
        <v>55</v>
      </c>
      <c r="F4" s="3" t="s">
        <v>56</v>
      </c>
      <c r="G4" s="3" t="s">
        <v>57</v>
      </c>
      <c r="H4" s="3" t="s">
        <v>58</v>
      </c>
    </row>
    <row r="5" customFormat="false" ht="15" hidden="false" customHeight="false" outlineLevel="0" collapsed="false">
      <c r="A5" s="4" t="s">
        <v>180</v>
      </c>
      <c r="B5" s="4" t="s">
        <v>23</v>
      </c>
      <c r="C5" s="4" t="s">
        <v>122</v>
      </c>
      <c r="D5" s="4" t="s">
        <v>259</v>
      </c>
      <c r="E5" s="5" t="n">
        <v>17633</v>
      </c>
      <c r="F5" s="5" t="n">
        <v>17633</v>
      </c>
      <c r="G5" s="5" t="n">
        <v>352.66</v>
      </c>
      <c r="H5" s="4" t="s">
        <v>101</v>
      </c>
    </row>
    <row r="6" customFormat="false" ht="15" hidden="false" customHeight="false" outlineLevel="0" collapsed="false">
      <c r="A6" s="4" t="s">
        <v>181</v>
      </c>
      <c r="B6" s="4" t="s">
        <v>23</v>
      </c>
      <c r="C6" s="4" t="s">
        <v>103</v>
      </c>
      <c r="D6" s="4" t="s">
        <v>259</v>
      </c>
      <c r="E6" s="5" t="n">
        <v>7519</v>
      </c>
      <c r="F6" s="5" t="n">
        <v>7519</v>
      </c>
      <c r="G6" s="5" t="n">
        <v>150.38</v>
      </c>
      <c r="H6" s="4" t="s">
        <v>101</v>
      </c>
    </row>
    <row r="7" customFormat="false" ht="15" hidden="false" customHeight="false" outlineLevel="0" collapsed="false">
      <c r="A7" s="7" t="s">
        <v>250</v>
      </c>
      <c r="B7" s="6"/>
      <c r="C7" s="6"/>
      <c r="D7" s="6"/>
      <c r="E7" s="6"/>
      <c r="F7" s="6"/>
      <c r="G7" s="8" t="n">
        <f aca="false">SUM(G5:G6)</f>
        <v>503.04</v>
      </c>
      <c r="H7" s="6"/>
    </row>
    <row r="8" customFormat="false" ht="15" hidden="false" customHeight="false" outlineLevel="0" collapsed="false">
      <c r="A8" s="4" t="s">
        <v>11</v>
      </c>
      <c r="G8" s="5" t="n">
        <f aca="false">SUMIFS(Adjustments!$D:$D,Adjustments!$A:$A,"Lane Coffey")</f>
        <v>0</v>
      </c>
    </row>
    <row r="9" customFormat="false" ht="15" hidden="false" customHeight="false" outlineLevel="0" collapsed="false">
      <c r="A9" s="11" t="s">
        <v>251</v>
      </c>
      <c r="G9" s="13" t="n">
        <f aca="false">G7+G8</f>
        <v>503.04</v>
      </c>
    </row>
    <row r="10" customFormat="false" ht="15" hidden="false" customHeight="false" outlineLevel="0" collapsed="false">
      <c r="A10" s="11" t="s">
        <v>258</v>
      </c>
    </row>
    <row r="11" customFormat="false" ht="15" hidden="false" customHeight="false" outlineLevel="0" collapsed="false">
      <c r="A11" s="3" t="s">
        <v>53</v>
      </c>
      <c r="B11" s="3" t="s">
        <v>4</v>
      </c>
      <c r="C11" s="3" t="s">
        <v>54</v>
      </c>
      <c r="D11" s="3" t="s">
        <v>187</v>
      </c>
      <c r="E11" s="3" t="s">
        <v>184</v>
      </c>
      <c r="F11" s="3" t="s">
        <v>188</v>
      </c>
      <c r="G11" s="3" t="s">
        <v>189</v>
      </c>
      <c r="H11" s="3" t="s">
        <v>190</v>
      </c>
      <c r="I11" s="3" t="s">
        <v>191</v>
      </c>
    </row>
    <row r="12" customFormat="false" ht="15" hidden="false" customHeight="false" outlineLevel="0" collapsed="false">
      <c r="A12" s="4" t="s">
        <v>192</v>
      </c>
      <c r="B12" s="4" t="s">
        <v>23</v>
      </c>
      <c r="C12" s="4" t="s">
        <v>193</v>
      </c>
      <c r="D12" s="4" t="s">
        <v>132</v>
      </c>
      <c r="E12" s="4" t="s">
        <v>194</v>
      </c>
      <c r="F12" s="4" t="s">
        <v>195</v>
      </c>
      <c r="G12" s="4" t="s">
        <v>196</v>
      </c>
      <c r="H12" s="4" t="s">
        <v>197</v>
      </c>
      <c r="I12" s="5" t="n">
        <v>2033.9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6" min="5" style="0" width="15"/>
    <col collapsed="false" customWidth="true" hidden="false" outlineLevel="0" max="7" min="7" style="0" width="13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45</v>
      </c>
      <c r="B1" s="11" t="s">
        <v>245</v>
      </c>
    </row>
    <row r="2" customFormat="false" ht="15" hidden="false" customHeight="false" outlineLevel="0" collapsed="false">
      <c r="A2" s="2" t="s">
        <v>246</v>
      </c>
    </row>
    <row r="4" customFormat="false" ht="15" hidden="false" customHeight="false" outlineLevel="0" collapsed="false">
      <c r="A4" s="3" t="s">
        <v>53</v>
      </c>
      <c r="B4" s="3" t="s">
        <v>4</v>
      </c>
      <c r="C4" s="3" t="s">
        <v>54</v>
      </c>
      <c r="D4" s="3" t="s">
        <v>52</v>
      </c>
      <c r="E4" s="3" t="s">
        <v>55</v>
      </c>
      <c r="F4" s="3" t="s">
        <v>56</v>
      </c>
      <c r="G4" s="3" t="s">
        <v>57</v>
      </c>
      <c r="H4" s="3" t="s">
        <v>58</v>
      </c>
    </row>
    <row r="5" customFormat="false" ht="15" hidden="false" customHeight="false" outlineLevel="0" collapsed="false">
      <c r="A5" s="7" t="s">
        <v>250</v>
      </c>
      <c r="B5" s="6"/>
      <c r="C5" s="6"/>
      <c r="D5" s="6"/>
      <c r="E5" s="6"/>
      <c r="F5" s="6"/>
      <c r="G5" s="8" t="n">
        <v>0</v>
      </c>
      <c r="H5" s="6"/>
    </row>
    <row r="6" customFormat="false" ht="15" hidden="false" customHeight="false" outlineLevel="0" collapsed="false">
      <c r="A6" s="4" t="s">
        <v>11</v>
      </c>
      <c r="G6" s="5" t="n">
        <f aca="false">SUMIFS(Adjustments!$D:$D,Adjustments!$A:$A,"Blake Holmes")</f>
        <v>-412.5</v>
      </c>
    </row>
    <row r="7" customFormat="false" ht="15" hidden="false" customHeight="false" outlineLevel="0" collapsed="false">
      <c r="A7" s="11" t="s">
        <v>251</v>
      </c>
      <c r="G7" s="13" t="n">
        <f aca="false">G5+G6</f>
        <v>-412.5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6" min="5" style="0" width="15"/>
    <col collapsed="false" customWidth="true" hidden="false" outlineLevel="0" max="7" min="7" style="0" width="13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46</v>
      </c>
      <c r="B1" s="11" t="s">
        <v>245</v>
      </c>
    </row>
    <row r="2" customFormat="false" ht="15" hidden="false" customHeight="false" outlineLevel="0" collapsed="false">
      <c r="A2" s="2" t="s">
        <v>255</v>
      </c>
    </row>
    <row r="4" customFormat="false" ht="15" hidden="false" customHeight="false" outlineLevel="0" collapsed="false">
      <c r="A4" s="3" t="s">
        <v>53</v>
      </c>
      <c r="B4" s="3" t="s">
        <v>4</v>
      </c>
      <c r="C4" s="3" t="s">
        <v>54</v>
      </c>
      <c r="D4" s="3" t="s">
        <v>52</v>
      </c>
      <c r="E4" s="3" t="s">
        <v>55</v>
      </c>
      <c r="F4" s="3" t="s">
        <v>56</v>
      </c>
      <c r="G4" s="3" t="s">
        <v>57</v>
      </c>
      <c r="H4" s="3" t="s">
        <v>58</v>
      </c>
    </row>
    <row r="5" customFormat="false" ht="15" hidden="false" customHeight="false" outlineLevel="0" collapsed="false">
      <c r="A5" s="4" t="s">
        <v>73</v>
      </c>
      <c r="B5" s="4" t="s">
        <v>21</v>
      </c>
      <c r="C5" s="4" t="s">
        <v>74</v>
      </c>
      <c r="D5" s="4" t="s">
        <v>261</v>
      </c>
      <c r="E5" s="5" t="n">
        <v>21964</v>
      </c>
      <c r="F5" s="5" t="n">
        <v>0</v>
      </c>
      <c r="G5" s="5" t="n">
        <v>-878.56</v>
      </c>
      <c r="H5" s="4" t="s">
        <v>62</v>
      </c>
    </row>
    <row r="6" customFormat="false" ht="15" hidden="false" customHeight="false" outlineLevel="0" collapsed="false">
      <c r="A6" s="4" t="s">
        <v>73</v>
      </c>
      <c r="B6" s="4" t="s">
        <v>21</v>
      </c>
      <c r="C6" s="4" t="s">
        <v>74</v>
      </c>
      <c r="D6" s="4" t="s">
        <v>247</v>
      </c>
      <c r="E6" s="5" t="n">
        <v>21964</v>
      </c>
      <c r="F6" s="5" t="n">
        <v>0</v>
      </c>
      <c r="G6" s="5" t="n">
        <v>-1098.2</v>
      </c>
      <c r="H6" s="4" t="s">
        <v>62</v>
      </c>
    </row>
    <row r="7" customFormat="false" ht="15" hidden="false" customHeight="false" outlineLevel="0" collapsed="false">
      <c r="A7" s="7" t="s">
        <v>250</v>
      </c>
      <c r="B7" s="6"/>
      <c r="C7" s="6"/>
      <c r="D7" s="6"/>
      <c r="E7" s="6"/>
      <c r="F7" s="6"/>
      <c r="G7" s="8" t="n">
        <f aca="false">SUM(G5:G6)</f>
        <v>-1976.76</v>
      </c>
      <c r="H7" s="6"/>
    </row>
    <row r="8" customFormat="false" ht="15" hidden="false" customHeight="false" outlineLevel="0" collapsed="false">
      <c r="A8" s="4" t="s">
        <v>11</v>
      </c>
      <c r="G8" s="5" t="n">
        <f aca="false">SUMIFS(Adjustments!$D:$D,Adjustments!$A:$A,"Jonathan Jensen")</f>
        <v>0</v>
      </c>
    </row>
    <row r="9" customFormat="false" ht="15" hidden="false" customHeight="false" outlineLevel="0" collapsed="false">
      <c r="A9" s="11" t="s">
        <v>251</v>
      </c>
      <c r="G9" s="13" t="n">
        <f aca="false">G7+G8</f>
        <v>-1976.76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2026-10-15T03:46:56Z</dcterms:created>
  <dc:creator>openpyxl</dc:creator>
  <dc:description/>
  <dc:language>en-US</dc:language>
  <cp:lastModifiedBy/>
  <dcterms:modified xsi:type="dcterms:W3CDTF">2026-10-15T03:46:56Z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