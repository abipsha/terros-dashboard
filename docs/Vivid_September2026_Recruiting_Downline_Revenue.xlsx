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yler Mickelsen" sheetId="2" state="visible" r:id="rId2"/>
    <sheet xmlns:r="http://schemas.openxmlformats.org/officeDocument/2006/relationships" name="Brock Morrison" sheetId="3" state="visible" r:id="rId3"/>
    <sheet xmlns:r="http://schemas.openxmlformats.org/officeDocument/2006/relationships" name="Carl Crosland" sheetId="4" state="visible" r:id="rId4"/>
    <sheet xmlns:r="http://schemas.openxmlformats.org/officeDocument/2006/relationships" name="JJ Gurney" sheetId="5" state="visible" r:id="rId5"/>
    <sheet xmlns:r="http://schemas.openxmlformats.org/officeDocument/2006/relationships" name="Colter Busk" sheetId="6" state="visible" r:id="rId6"/>
    <sheet xmlns:r="http://schemas.openxmlformats.org/officeDocument/2006/relationships" name="Nathan Lewis" sheetId="7" state="visible" r:id="rId7"/>
    <sheet xmlns:r="http://schemas.openxmlformats.org/officeDocument/2006/relationships" name="Nick Brown" sheetId="8" state="visible" r:id="rId8"/>
    <sheet xmlns:r="http://schemas.openxmlformats.org/officeDocument/2006/relationships" name="Dane Covington" sheetId="9" state="visible" r:id="rId9"/>
    <sheet xmlns:r="http://schemas.openxmlformats.org/officeDocument/2006/relationships" name="Mavryck Holmgren" sheetId="10" state="visible" r:id="rId10"/>
    <sheet xmlns:r="http://schemas.openxmlformats.org/officeDocument/2006/relationships" name="Todd Hess" sheetId="11" state="visible" r:id="rId11"/>
    <sheet xmlns:r="http://schemas.openxmlformats.org/officeDocument/2006/relationships" name="Ethan Saxton" sheetId="12" state="visible" r:id="rId12"/>
    <sheet xmlns:r="http://schemas.openxmlformats.org/officeDocument/2006/relationships" name="Kimberly Simmerman" sheetId="13" state="visible" r:id="rId13"/>
    <sheet xmlns:r="http://schemas.openxmlformats.org/officeDocument/2006/relationships" name="Kerrigan Simpson" sheetId="14" state="visible" r:id="rId14"/>
    <sheet xmlns:r="http://schemas.openxmlformats.org/officeDocument/2006/relationships" name="Mario Torres" sheetId="15" state="visible" r:id="rId15"/>
    <sheet xmlns:r="http://schemas.openxmlformats.org/officeDocument/2006/relationships" name="Terry Xanthos" sheetId="16" state="visible" r:id="rId16"/>
    <sheet xmlns:r="http://schemas.openxmlformats.org/officeDocument/2006/relationships" name="Brian Gwyn" sheetId="17" state="visible" r:id="rId17"/>
    <sheet xmlns:r="http://schemas.openxmlformats.org/officeDocument/2006/relationships" name="Chase Merrell" sheetId="18" state="visible" r:id="rId18"/>
    <sheet xmlns:r="http://schemas.openxmlformats.org/officeDocument/2006/relationships" name="Alan Fransen" sheetId="19" state="visible" r:id="rId19"/>
    <sheet xmlns:r="http://schemas.openxmlformats.org/officeDocument/2006/relationships" name="Lane Coffey" sheetId="20" state="visible" r:id="rId20"/>
    <sheet xmlns:r="http://schemas.openxmlformats.org/officeDocument/2006/relationships" name="Jason Trolson" sheetId="21" state="visible" r:id="rId21"/>
    <sheet xmlns:r="http://schemas.openxmlformats.org/officeDocument/2006/relationships" name="Scott Heer" sheetId="22" state="visible" r:id="rId22"/>
    <sheet xmlns:r="http://schemas.openxmlformats.org/officeDocument/2006/relationships" name="Caleb Fransen" sheetId="23" state="visible" r:id="rId23"/>
    <sheet xmlns:r="http://schemas.openxmlformats.org/officeDocument/2006/relationships" name="Tanner Crosland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\$#,##0.00"/>
    <numFmt numFmtId="165" formatCode="0.0%"/>
    <numFmt numFmtId="166" formatCode="yyyy-mm-dd h:mm:ss"/>
    <numFmt numFmtId="167" formatCode="mm/dd/yyyy"/>
  </numFmts>
  <fonts count="10">
    <font>
      <name val="Calibri"/>
      <family val="2"/>
      <color theme="1"/>
      <sz val="11"/>
      <scheme val="minor"/>
    </font>
    <font>
      <b val="1"/>
      <sz val="16"/>
    </font>
    <font>
      <sz val="10"/>
    </font>
    <font>
      <b val="1"/>
      <color rgb="FFFFFFFF"/>
      <sz val="11"/>
    </font>
    <font>
      <b val="1"/>
    </font>
    <font>
      <i val="1"/>
      <color rgb="FF666666"/>
      <sz val="9"/>
    </font>
    <font>
      <b val="1"/>
      <color rgb="FF1F3A5F"/>
      <sz val="15"/>
    </font>
    <font>
      <b val="1"/>
      <color rgb="FF222222"/>
      <sz val="11"/>
    </font>
    <font>
      <b val="1"/>
      <color rgb="FF1F3A5F"/>
      <sz val="12"/>
    </font>
    <font>
      <color rgb="FF222222"/>
      <sz val="10"/>
    </font>
  </fonts>
  <fills count="9">
    <fill>
      <patternFill/>
    </fill>
    <fill>
      <patternFill patternType="gray125"/>
    </fill>
    <fill>
      <patternFill patternType="solid">
        <fgColor rgb="FF2C3E50"/>
      </patternFill>
    </fill>
    <fill>
      <patternFill patternType="solid">
        <fgColor rgb="FFD9F2D0"/>
      </patternFill>
    </fill>
    <fill>
      <patternFill patternType="solid">
        <fgColor rgb="FFA4C2F4"/>
      </patternFill>
    </fill>
    <fill>
      <patternFill patternType="solid">
        <fgColor rgb="FFC9DAF8"/>
      </patternFill>
    </fill>
    <fill>
      <patternFill patternType="solid">
        <fgColor rgb="FFE8F0FE"/>
      </patternFill>
    </fill>
    <fill>
      <patternFill patternType="solid">
        <fgColor rgb="FFF3F8FF"/>
      </patternFill>
    </fill>
    <fill>
      <patternFill patternType="solid">
        <fgColor rgb="FF93C47D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right"/>
    </xf>
    <xf numFmtId="0" fontId="0" fillId="0" borderId="1" pivotButton="0" quotePrefix="0" xfId="0"/>
    <xf numFmtId="0" fontId="4" fillId="0" borderId="0" pivotButton="0" quotePrefix="0" xfId="0"/>
    <xf numFmtId="164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164" fontId="8" fillId="3" borderId="0" pivotButton="0" quotePrefix="0" xfId="0"/>
    <xf numFmtId="0" fontId="8" fillId="0" borderId="0" pivotButton="0" quotePrefix="0" xfId="0"/>
    <xf numFmtId="0" fontId="3" fillId="2" borderId="0" pivotButton="0" quotePrefix="0" xfId="0"/>
    <xf numFmtId="0" fontId="9" fillId="4" borderId="0" pivotButton="0" quotePrefix="0" xfId="0"/>
    <xf numFmtId="164" fontId="9" fillId="4" borderId="0" pivotButton="0" quotePrefix="0" xfId="0"/>
    <xf numFmtId="165" fontId="9" fillId="4" borderId="0" pivotButton="0" quotePrefix="0" xfId="0"/>
    <xf numFmtId="0" fontId="9" fillId="5" borderId="0" pivotButton="0" quotePrefix="0" xfId="0"/>
    <xf numFmtId="164" fontId="9" fillId="5" borderId="0" pivotButton="0" quotePrefix="0" xfId="0"/>
    <xf numFmtId="165" fontId="9" fillId="5" borderId="0" pivotButton="0" quotePrefix="0" xfId="0"/>
    <xf numFmtId="0" fontId="9" fillId="6" borderId="0" pivotButton="0" quotePrefix="0" xfId="0"/>
    <xf numFmtId="164" fontId="9" fillId="6" borderId="0" pivotButton="0" quotePrefix="0" xfId="0"/>
    <xf numFmtId="165" fontId="9" fillId="6" borderId="0" pivotButton="0" quotePrefix="0" xfId="0"/>
    <xf numFmtId="0" fontId="9" fillId="7" borderId="0" pivotButton="0" quotePrefix="0" xfId="0"/>
    <xf numFmtId="164" fontId="9" fillId="7" borderId="0" pivotButton="0" quotePrefix="0" xfId="0"/>
    <xf numFmtId="165" fontId="9" fillId="7" borderId="0" pivotButton="0" quotePrefix="0" xfId="0"/>
    <xf numFmtId="0" fontId="4" fillId="0" borderId="1" pivotButton="0" quotePrefix="0" xfId="0"/>
    <xf numFmtId="1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167" fontId="9" fillId="4" borderId="0" pivotButton="0" quotePrefix="0" xfId="0"/>
    <xf numFmtId="167" fontId="9" fillId="5" borderId="0" pivotButton="0" quotePrefix="0" xfId="0"/>
    <xf numFmtId="167" fontId="9" fillId="6" borderId="0" pivotButton="0" quotePrefix="0" xfId="0"/>
    <xf numFmtId="167" fontId="9" fillId="7" borderId="0" pivotButton="0" quotePrefix="0" xfId="0"/>
    <xf numFmtId="0" fontId="9" fillId="8" borderId="0" pivotButton="0" quotePrefix="0" xfId="0"/>
    <xf numFmtId="164" fontId="9" fillId="8" borderId="0" pivotButton="0" quotePrefix="0" xfId="0"/>
    <xf numFmtId="165" fontId="9" fillId="8" borderId="0" pivotButton="0" quotePrefix="0" xfId="0"/>
    <xf numFmtId="167" fontId="9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22" customWidth="1" min="3" max="3"/>
    <col width="15" customWidth="1" min="4" max="4"/>
  </cols>
  <sheetData>
    <row r="1">
      <c r="A1" s="1" t="inlineStr">
        <is>
          <t>Vivid Windows — September 2026 Recruiting Downline Revenue</t>
        </is>
      </c>
    </row>
    <row r="2">
      <c r="A2" s="2" t="inlineStr">
        <is>
          <t>Revenue from deals canvassed by each manager (Self) or by any downline recruit, all levels - canvasser credit only</t>
        </is>
      </c>
    </row>
    <row r="4">
      <c r="A4" s="3" t="inlineStr">
        <is>
          <t>Recruiter</t>
        </is>
      </c>
      <c r="B4" s="4" t="inlineStr">
        <is>
          <t>Downline Size</t>
        </is>
      </c>
      <c r="C4" s="4" t="inlineStr">
        <is>
          <t>Total Revenue (September)</t>
        </is>
      </c>
      <c r="D4" s="4" t="inlineStr">
        <is>
          <t>Deals Credited</t>
        </is>
      </c>
    </row>
    <row r="5">
      <c r="A5" s="2" t="inlineStr">
        <is>
          <t>Tyler Mickelsen</t>
        </is>
      </c>
      <c r="B5" s="5" t="n">
        <v>88</v>
      </c>
      <c r="C5" s="6">
        <f>'Tyler Mickelsen'!F82</f>
        <v/>
      </c>
      <c r="D5" s="5">
        <f>COUNTA('Tyler Mickelsen'!A28:A81)</f>
        <v/>
      </c>
    </row>
    <row r="6">
      <c r="A6" s="2" t="inlineStr">
        <is>
          <t>Brock Morrison</t>
        </is>
      </c>
      <c r="B6" s="5" t="n">
        <v>107</v>
      </c>
      <c r="C6" s="6">
        <f>'Brock Morrison'!F54</f>
        <v/>
      </c>
      <c r="D6" s="5">
        <f>COUNTA('Brock Morrison'!A20:A53)</f>
        <v/>
      </c>
    </row>
    <row r="7">
      <c r="A7" s="2" t="inlineStr">
        <is>
          <t>Carl Crosland</t>
        </is>
      </c>
      <c r="B7" s="5" t="n">
        <v>50</v>
      </c>
      <c r="C7" s="6">
        <f>'Carl Crosland'!F59</f>
        <v/>
      </c>
      <c r="D7" s="5">
        <f>COUNTA('Carl Crosland'!A21:A58)</f>
        <v/>
      </c>
    </row>
    <row r="8">
      <c r="A8" s="2" t="inlineStr">
        <is>
          <t>JJ Gurney</t>
        </is>
      </c>
      <c r="B8" s="5" t="n">
        <v>30</v>
      </c>
      <c r="C8" s="6">
        <f>'JJ Gurney'!F41</f>
        <v/>
      </c>
      <c r="D8" s="5">
        <f>COUNTA('JJ Gurney'!A15:A40)</f>
        <v/>
      </c>
    </row>
    <row r="9">
      <c r="A9" s="2" t="inlineStr">
        <is>
          <t>Colter Busk</t>
        </is>
      </c>
      <c r="B9" s="5" t="n">
        <v>3</v>
      </c>
      <c r="C9" s="6">
        <f>'Colter Busk'!F26</f>
        <v/>
      </c>
      <c r="D9" s="5">
        <f>COUNTA('Colter Busk'!A12:A25)</f>
        <v/>
      </c>
    </row>
    <row r="10">
      <c r="A10" s="2" t="inlineStr">
        <is>
          <t>Nathan Lewis</t>
        </is>
      </c>
      <c r="B10" s="5" t="n">
        <v>10</v>
      </c>
      <c r="C10" s="6">
        <f>'Nathan Lewis'!F23</f>
        <v/>
      </c>
      <c r="D10" s="5">
        <f>COUNTA('Nathan Lewis'!A13:A22)</f>
        <v/>
      </c>
    </row>
    <row r="11">
      <c r="A11" s="2" t="inlineStr">
        <is>
          <t>Nick Brown</t>
        </is>
      </c>
      <c r="B11" s="5" t="n">
        <v>9</v>
      </c>
      <c r="C11" s="6">
        <f>'Nick Brown'!F26</f>
        <v/>
      </c>
      <c r="D11" s="5">
        <f>COUNTA('Nick Brown'!A14:A25)</f>
        <v/>
      </c>
    </row>
    <row r="12">
      <c r="A12" s="2" t="inlineStr">
        <is>
          <t>Dane Covington</t>
        </is>
      </c>
      <c r="B12" s="5" t="n">
        <v>28</v>
      </c>
      <c r="C12" s="6">
        <f>'Dane Covington'!F25</f>
        <v/>
      </c>
      <c r="D12" s="5">
        <f>COUNTA('Dane Covington'!A13:A24)</f>
        <v/>
      </c>
    </row>
    <row r="13">
      <c r="A13" s="2" t="inlineStr">
        <is>
          <t>Mavryck Holmgren</t>
        </is>
      </c>
      <c r="B13" s="5" t="n">
        <v>69</v>
      </c>
      <c r="C13" s="6">
        <f>'Mavryck Holmgren'!F23</f>
        <v/>
      </c>
      <c r="D13" s="5">
        <f>COUNTA('Mavryck Holmgren'!A15:A22)</f>
        <v/>
      </c>
    </row>
    <row r="14">
      <c r="A14" s="2" t="inlineStr">
        <is>
          <t>Todd Hess</t>
        </is>
      </c>
      <c r="B14" s="5" t="n">
        <v>2</v>
      </c>
      <c r="C14" s="6">
        <f>'Todd Hess'!F21</f>
        <v/>
      </c>
      <c r="D14" s="5">
        <f>COUNTA('Todd Hess'!A12:A20)</f>
        <v/>
      </c>
    </row>
    <row r="15">
      <c r="A15" s="2" t="inlineStr">
        <is>
          <t>Ethan Saxton</t>
        </is>
      </c>
      <c r="B15" s="5" t="n">
        <v>3</v>
      </c>
      <c r="C15" s="6">
        <f>'Ethan Saxton'!F19</f>
        <v/>
      </c>
      <c r="D15" s="5">
        <f>COUNTA('Ethan Saxton'!A12:A18)</f>
        <v/>
      </c>
    </row>
    <row r="16">
      <c r="A16" s="2" t="inlineStr">
        <is>
          <t>Kimberly Simmerman</t>
        </is>
      </c>
      <c r="B16" s="5" t="n">
        <v>5</v>
      </c>
      <c r="C16" s="6">
        <f>'Kimberly Simmerman'!F16</f>
        <v/>
      </c>
      <c r="D16" s="5">
        <f>COUNTA('Kimberly Simmerman'!A11:A15)</f>
        <v/>
      </c>
    </row>
    <row r="17">
      <c r="A17" s="2" t="inlineStr">
        <is>
          <t>Kerrigan Simpson</t>
        </is>
      </c>
      <c r="B17" s="5" t="n">
        <v>21</v>
      </c>
      <c r="C17" s="6">
        <f>'Kerrigan Simpson'!F17</f>
        <v/>
      </c>
      <c r="D17" s="5">
        <f>COUNTA('Kerrigan Simpson'!A12:A16)</f>
        <v/>
      </c>
    </row>
    <row r="18">
      <c r="A18" s="2" t="inlineStr">
        <is>
          <t>Mario Torres</t>
        </is>
      </c>
      <c r="B18" s="5" t="n">
        <v>2</v>
      </c>
      <c r="C18" s="6">
        <f>'Mario Torres'!F17</f>
        <v/>
      </c>
      <c r="D18" s="5">
        <f>COUNTA('Mario Torres'!A11:A16)</f>
        <v/>
      </c>
    </row>
    <row r="19">
      <c r="A19" s="2" t="inlineStr">
        <is>
          <t>Terry Xanthos</t>
        </is>
      </c>
      <c r="B19" s="5" t="n">
        <v>19</v>
      </c>
      <c r="C19" s="6">
        <f>'Terry Xanthos'!F17</f>
        <v/>
      </c>
      <c r="D19" s="5">
        <f>COUNTA('Terry Xanthos'!A11:A16)</f>
        <v/>
      </c>
    </row>
    <row r="20">
      <c r="A20" s="2" t="inlineStr">
        <is>
          <t>Brian Gwyn</t>
        </is>
      </c>
      <c r="B20" s="5" t="n">
        <v>16</v>
      </c>
      <c r="C20" s="6">
        <f>'Brian Gwyn'!F14</f>
        <v/>
      </c>
      <c r="D20" s="5">
        <f>COUNTA('Brian Gwyn'!A12:A13)</f>
        <v/>
      </c>
    </row>
    <row r="21">
      <c r="A21" s="2" t="inlineStr">
        <is>
          <t>Chase Merrell</t>
        </is>
      </c>
      <c r="B21" s="5" t="n">
        <v>3</v>
      </c>
      <c r="C21" s="6">
        <f>'Chase Merrell'!F14</f>
        <v/>
      </c>
      <c r="D21" s="5">
        <f>COUNTA('Chase Merrell'!A11:A13)</f>
        <v/>
      </c>
    </row>
    <row r="22">
      <c r="A22" s="2" t="inlineStr">
        <is>
          <t>Alan Fransen</t>
        </is>
      </c>
      <c r="B22" s="5" t="n">
        <v>3</v>
      </c>
      <c r="C22" s="6">
        <f>'Alan Fransen'!F16</f>
        <v/>
      </c>
      <c r="D22" s="5">
        <f>COUNTA('Alan Fransen'!A12:A15)</f>
        <v/>
      </c>
    </row>
    <row r="23">
      <c r="A23" s="2" t="inlineStr">
        <is>
          <t>Lane Coffey</t>
        </is>
      </c>
      <c r="B23" s="5" t="n">
        <v>2</v>
      </c>
      <c r="C23" s="6">
        <f>'Lane Coffey'!F14</f>
        <v/>
      </c>
      <c r="D23" s="5">
        <f>COUNTA('Lane Coffey'!A11:A13)</f>
        <v/>
      </c>
    </row>
    <row r="24">
      <c r="A24" s="2" t="inlineStr">
        <is>
          <t>Jason Trolson</t>
        </is>
      </c>
      <c r="B24" s="5" t="n">
        <v>1</v>
      </c>
      <c r="C24" s="6">
        <f>'Jason Trolson'!F12</f>
        <v/>
      </c>
      <c r="D24" s="5">
        <f>COUNTA('Jason Trolson'!A11:A11)</f>
        <v/>
      </c>
    </row>
    <row r="25">
      <c r="A25" s="2" t="inlineStr">
        <is>
          <t>Scott Heer</t>
        </is>
      </c>
      <c r="B25" s="5" t="n">
        <v>2</v>
      </c>
      <c r="C25" s="6">
        <f>'Scott Heer'!F12</f>
        <v/>
      </c>
      <c r="D25" s="5">
        <f>COUNTA('Scott Heer'!A11:A11)</f>
        <v/>
      </c>
    </row>
    <row r="26">
      <c r="A26" s="2" t="inlineStr">
        <is>
          <t>Caleb Fransen</t>
        </is>
      </c>
      <c r="B26" s="5" t="n">
        <v>1</v>
      </c>
      <c r="C26" s="6">
        <f>'Caleb Fransen'!F12</f>
        <v/>
      </c>
      <c r="D26" s="5">
        <f>COUNTA('Caleb Fransen'!A11:A11)</f>
        <v/>
      </c>
    </row>
    <row r="27">
      <c r="A27" s="2" t="inlineStr">
        <is>
          <t>Tanner Crosland</t>
        </is>
      </c>
      <c r="B27" s="5" t="n">
        <v>3</v>
      </c>
      <c r="C27" s="6">
        <f>'Tanner Crosland'!F12</f>
        <v/>
      </c>
      <c r="D27" s="5">
        <f>COUNTA('Tanner Crosland'!A11:A11)</f>
        <v/>
      </c>
    </row>
    <row r="28">
      <c r="A28" s="7" t="n"/>
      <c r="B28" s="7" t="n"/>
      <c r="C28" s="7" t="n"/>
      <c r="D28" s="7" t="n"/>
    </row>
    <row r="29">
      <c r="A29" s="8" t="inlineStr">
        <is>
          <t>Company Won revenue, September 2026 (each deal once)</t>
        </is>
      </c>
      <c r="C29" s="9" t="n">
        <v>1499923</v>
      </c>
      <c r="D29" s="10" t="n">
        <v>88</v>
      </c>
    </row>
    <row r="30">
      <c r="A30" s="11" t="inlineStr">
        <is>
          <t>Manager totals overlap - a deal counts for every manager above the canvasser - so they are not added up.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14" customWidth="1" min="5" max="5"/>
    <col width="16" customWidth="1" min="6" max="6"/>
    <col width="15" customWidth="1" min="7" max="7"/>
    <col width="20" customWidth="1" min="8" max="8"/>
  </cols>
  <sheetData>
    <row r="1">
      <c r="A1" s="12" t="inlineStr">
        <is>
          <t>Tyler Mickelsen</t>
        </is>
      </c>
    </row>
    <row r="2">
      <c r="A2" s="13" t="inlineStr">
        <is>
          <t>Total downline revenue (September 2026):</t>
        </is>
      </c>
      <c r="B2" s="14">
        <f>F82</f>
        <v/>
      </c>
    </row>
    <row r="4">
      <c r="A4" s="15" t="inlineStr">
        <is>
          <t>Downline Recruit Breakdown</t>
        </is>
      </c>
    </row>
    <row r="5">
      <c r="A5" s="16" t="inlineStr">
        <is>
          <t>Recruit</t>
        </is>
      </c>
      <c r="B5" s="16" t="inlineStr">
        <is>
          <t>Sales Team</t>
        </is>
      </c>
      <c r="C5" s="16" t="inlineStr">
        <is>
          <t>Level</t>
        </is>
      </c>
      <c r="D5" s="16" t="inlineStr">
        <is>
          <t>Recruited By</t>
        </is>
      </c>
      <c r="E5" s="16" t="inlineStr">
        <is>
          <t>Deals</t>
        </is>
      </c>
      <c r="F5" s="16" t="inlineStr">
        <is>
          <t>Revenue</t>
        </is>
      </c>
      <c r="G5" s="16" t="inlineStr">
        <is>
          <t>% of Total</t>
        </is>
      </c>
    </row>
    <row r="6">
      <c r="A6" s="17" t="inlineStr">
        <is>
          <t>Kress Johnson</t>
        </is>
      </c>
      <c r="B6" s="17" t="inlineStr">
        <is>
          <t>Southern Utah</t>
        </is>
      </c>
      <c r="C6" s="17" t="inlineStr">
        <is>
          <t>Level 1</t>
        </is>
      </c>
      <c r="D6" s="17" t="inlineStr">
        <is>
          <t>Tyler Mickelsen</t>
        </is>
      </c>
      <c r="E6" s="17">
        <f>COUNTIF($H$28:$H$81,A6)</f>
        <v/>
      </c>
      <c r="F6" s="18">
        <f>SUMIF($H$28:$H$81,A6,$F$28:$F$81)</f>
        <v/>
      </c>
      <c r="G6" s="19">
        <f>IF($F$82=0,0,F6/$F$82)</f>
        <v/>
      </c>
    </row>
    <row r="7">
      <c r="A7" s="17" t="inlineStr">
        <is>
          <t>Carl Crosland</t>
        </is>
      </c>
      <c r="B7" s="17" t="inlineStr">
        <is>
          <t>Northern Utah</t>
        </is>
      </c>
      <c r="C7" s="17" t="inlineStr">
        <is>
          <t>Level 1</t>
        </is>
      </c>
      <c r="D7" s="17" t="inlineStr">
        <is>
          <t>Tyler Mickelsen</t>
        </is>
      </c>
      <c r="E7" s="17">
        <f>COUNTIF($H$28:$H$81,A7)</f>
        <v/>
      </c>
      <c r="F7" s="18">
        <f>SUMIF($H$28:$H$81,A7,$F$28:$F$81)</f>
        <v/>
      </c>
      <c r="G7" s="19">
        <f>IF($F$82=0,0,F7/$F$82)</f>
        <v/>
      </c>
    </row>
    <row r="8">
      <c r="A8" s="17" t="inlineStr">
        <is>
          <t>Brian Gwyn</t>
        </is>
      </c>
      <c r="B8" s="17" t="inlineStr">
        <is>
          <t>Eastern Idaho</t>
        </is>
      </c>
      <c r="C8" s="17" t="inlineStr">
        <is>
          <t>Level 1</t>
        </is>
      </c>
      <c r="D8" s="17" t="inlineStr">
        <is>
          <t>Tyler Mickelsen</t>
        </is>
      </c>
      <c r="E8" s="17">
        <f>COUNTIF($H$28:$H$81,A8)</f>
        <v/>
      </c>
      <c r="F8" s="18">
        <f>SUMIF($H$28:$H$81,A8,$F$28:$F$81)</f>
        <v/>
      </c>
      <c r="G8" s="19">
        <f>IF($F$82=0,0,F8/$F$82)</f>
        <v/>
      </c>
    </row>
    <row r="9">
      <c r="A9" s="17" t="inlineStr">
        <is>
          <t>Jason Trolson</t>
        </is>
      </c>
      <c r="B9" s="17" t="inlineStr">
        <is>
          <t>Northern Utah</t>
        </is>
      </c>
      <c r="C9" s="17" t="inlineStr">
        <is>
          <t>Level 1</t>
        </is>
      </c>
      <c r="D9" s="17" t="inlineStr">
        <is>
          <t>Tyler Mickelsen</t>
        </is>
      </c>
      <c r="E9" s="17">
        <f>COUNTIF($H$28:$H$81,A9)</f>
        <v/>
      </c>
      <c r="F9" s="18">
        <f>SUMIF($H$28:$H$81,A9,$F$28:$F$81)</f>
        <v/>
      </c>
      <c r="G9" s="19">
        <f>IF($F$82=0,0,F9/$F$82)</f>
        <v/>
      </c>
    </row>
    <row r="10">
      <c r="A10" s="20" t="inlineStr">
        <is>
          <t>Ryan Kelsey</t>
        </is>
      </c>
      <c r="B10" s="20" t="inlineStr">
        <is>
          <t>Northern California</t>
        </is>
      </c>
      <c r="C10" s="20" t="inlineStr">
        <is>
          <t>Level 2</t>
        </is>
      </c>
      <c r="D10" s="20" t="inlineStr">
        <is>
          <t>Nathan Lewis</t>
        </is>
      </c>
      <c r="E10" s="20">
        <f>COUNTIF($H$28:$H$81,A10)</f>
        <v/>
      </c>
      <c r="F10" s="21">
        <f>SUMIF($H$28:$H$81,A10,$F$28:$F$81)</f>
        <v/>
      </c>
      <c r="G10" s="22">
        <f>IF($F$82=0,0,F10/$F$82)</f>
        <v/>
      </c>
    </row>
    <row r="11">
      <c r="A11" s="20" t="inlineStr">
        <is>
          <t>Nick Brown</t>
        </is>
      </c>
      <c r="B11" s="20" t="inlineStr">
        <is>
          <t>Eastern Idaho</t>
        </is>
      </c>
      <c r="C11" s="20" t="inlineStr">
        <is>
          <t>Level 2</t>
        </is>
      </c>
      <c r="D11" s="20" t="inlineStr">
        <is>
          <t>Carl Crosland</t>
        </is>
      </c>
      <c r="E11" s="20">
        <f>COUNTIF($H$28:$H$81,A11)</f>
        <v/>
      </c>
      <c r="F11" s="21">
        <f>SUMIF($H$28:$H$81,A11,$F$28:$F$81)</f>
        <v/>
      </c>
      <c r="G11" s="22">
        <f>IF($F$82=0,0,F11/$F$82)</f>
        <v/>
      </c>
    </row>
    <row r="12">
      <c r="A12" s="20" t="inlineStr">
        <is>
          <t>Dane Covington</t>
        </is>
      </c>
      <c r="B12" s="20" t="inlineStr">
        <is>
          <t>Northern Utah</t>
        </is>
      </c>
      <c r="C12" s="20" t="inlineStr">
        <is>
          <t>Level 2</t>
        </is>
      </c>
      <c r="D12" s="20" t="inlineStr">
        <is>
          <t>Carl Crosland</t>
        </is>
      </c>
      <c r="E12" s="20">
        <f>COUNTIF($H$28:$H$81,A12)</f>
        <v/>
      </c>
      <c r="F12" s="21">
        <f>SUMIF($H$28:$H$81,A12,$F$28:$F$81)</f>
        <v/>
      </c>
      <c r="G12" s="22">
        <f>IF($F$82=0,0,F12/$F$82)</f>
        <v/>
      </c>
    </row>
    <row r="13">
      <c r="A13" s="20" t="inlineStr">
        <is>
          <t>Todd Hess</t>
        </is>
      </c>
      <c r="B13" s="20" t="inlineStr">
        <is>
          <t>Northern Utah</t>
        </is>
      </c>
      <c r="C13" s="20" t="inlineStr">
        <is>
          <t>Level 2</t>
        </is>
      </c>
      <c r="D13" s="20" t="inlineStr">
        <is>
          <t>Carl Crosland</t>
        </is>
      </c>
      <c r="E13" s="20">
        <f>COUNTIF($H$28:$H$81,A13)</f>
        <v/>
      </c>
      <c r="F13" s="21">
        <f>SUMIF($H$28:$H$81,A13,$F$28:$F$81)</f>
        <v/>
      </c>
      <c r="G13" s="22">
        <f>IF($F$82=0,0,F13/$F$82)</f>
        <v/>
      </c>
    </row>
    <row r="14">
      <c r="A14" s="20" t="inlineStr">
        <is>
          <t>Ethan Saxton</t>
        </is>
      </c>
      <c r="B14" s="20" t="inlineStr">
        <is>
          <t>Southern Utah</t>
        </is>
      </c>
      <c r="C14" s="20" t="inlineStr">
        <is>
          <t>Level 2</t>
        </is>
      </c>
      <c r="D14" s="20" t="inlineStr">
        <is>
          <t>Nathan Lewis</t>
        </is>
      </c>
      <c r="E14" s="20">
        <f>COUNTIF($H$28:$H$81,A14)</f>
        <v/>
      </c>
      <c r="F14" s="21">
        <f>SUMIF($H$28:$H$81,A14,$F$28:$F$81)</f>
        <v/>
      </c>
      <c r="G14" s="22">
        <f>IF($F$82=0,0,F14/$F$82)</f>
        <v/>
      </c>
    </row>
    <row r="15">
      <c r="A15" s="20" t="inlineStr">
        <is>
          <t>Tanner Crosland</t>
        </is>
      </c>
      <c r="B15" s="20" t="inlineStr">
        <is>
          <t>Northern Utah</t>
        </is>
      </c>
      <c r="C15" s="20" t="inlineStr">
        <is>
          <t>Level 2</t>
        </is>
      </c>
      <c r="D15" s="20" t="inlineStr">
        <is>
          <t>Carl Crosland</t>
        </is>
      </c>
      <c r="E15" s="20">
        <f>COUNTIF($H$28:$H$81,A15)</f>
        <v/>
      </c>
      <c r="F15" s="21">
        <f>SUMIF($H$28:$H$81,A15,$F$28:$F$81)</f>
        <v/>
      </c>
      <c r="G15" s="22">
        <f>IF($F$82=0,0,F15/$F$82)</f>
        <v/>
      </c>
    </row>
    <row r="16">
      <c r="A16" s="23" t="inlineStr">
        <is>
          <t>Shawn Harding</t>
        </is>
      </c>
      <c r="B16" s="23" t="inlineStr">
        <is>
          <t>Northern Utah</t>
        </is>
      </c>
      <c r="C16" s="23" t="inlineStr">
        <is>
          <t>Level 3</t>
        </is>
      </c>
      <c r="D16" s="23" t="inlineStr">
        <is>
          <t>Todd Hess</t>
        </is>
      </c>
      <c r="E16" s="23">
        <f>COUNTIF($H$28:$H$81,A16)</f>
        <v/>
      </c>
      <c r="F16" s="24">
        <f>SUMIF($H$28:$H$81,A16,$F$28:$F$81)</f>
        <v/>
      </c>
      <c r="G16" s="25">
        <f>IF($F$82=0,0,F16/$F$82)</f>
        <v/>
      </c>
    </row>
    <row r="17">
      <c r="A17" s="23" t="inlineStr">
        <is>
          <t>Camille Gerritsen</t>
        </is>
      </c>
      <c r="B17" s="23" t="inlineStr">
        <is>
          <t>Northern Utah</t>
        </is>
      </c>
      <c r="C17" s="23" t="inlineStr">
        <is>
          <t>Level 3</t>
        </is>
      </c>
      <c r="D17" s="23" t="inlineStr">
        <is>
          <t>Ethan Saxton</t>
        </is>
      </c>
      <c r="E17" s="23">
        <f>COUNTIF($H$28:$H$81,A17)</f>
        <v/>
      </c>
      <c r="F17" s="24">
        <f>SUMIF($H$28:$H$81,A17,$F$28:$F$81)</f>
        <v/>
      </c>
      <c r="G17" s="25">
        <f>IF($F$82=0,0,F17/$F$82)</f>
        <v/>
      </c>
    </row>
    <row r="18">
      <c r="A18" s="23" t="inlineStr">
        <is>
          <t>Zackary Johnston</t>
        </is>
      </c>
      <c r="B18" s="23" t="inlineStr">
        <is>
          <t>Eastern Idaho</t>
        </is>
      </c>
      <c r="C18" s="23" t="inlineStr">
        <is>
          <t>Level 3</t>
        </is>
      </c>
      <c r="D18" s="23" t="inlineStr">
        <is>
          <t>Nick Brown</t>
        </is>
      </c>
      <c r="E18" s="23">
        <f>COUNTIF($H$28:$H$81,A18)</f>
        <v/>
      </c>
      <c r="F18" s="24">
        <f>SUMIF($H$28:$H$81,A18,$F$28:$F$81)</f>
        <v/>
      </c>
      <c r="G18" s="25">
        <f>IF($F$82=0,0,F18/$F$82)</f>
        <v/>
      </c>
    </row>
    <row r="19">
      <c r="A19" s="23" t="inlineStr">
        <is>
          <t>Alan Fransen</t>
        </is>
      </c>
      <c r="B19" s="23" t="inlineStr">
        <is>
          <t>Eastern Idaho</t>
        </is>
      </c>
      <c r="C19" s="23" t="inlineStr">
        <is>
          <t>Level 3</t>
        </is>
      </c>
      <c r="D19" s="23" t="inlineStr">
        <is>
          <t>Nick Brown</t>
        </is>
      </c>
      <c r="E19" s="23">
        <f>COUNTIF($H$28:$H$81,A19)</f>
        <v/>
      </c>
      <c r="F19" s="24">
        <f>SUMIF($H$28:$H$81,A19,$F$28:$F$81)</f>
        <v/>
      </c>
      <c r="G19" s="25">
        <f>IF($F$82=0,0,F19/$F$82)</f>
        <v/>
      </c>
    </row>
    <row r="20">
      <c r="A20" s="23" t="inlineStr">
        <is>
          <t>Amber Heer</t>
        </is>
      </c>
      <c r="B20" s="23" t="inlineStr">
        <is>
          <t>Eastern Idaho</t>
        </is>
      </c>
      <c r="C20" s="23" t="inlineStr">
        <is>
          <t>Level 3</t>
        </is>
      </c>
      <c r="D20" s="23" t="inlineStr">
        <is>
          <t>Scott Heer</t>
        </is>
      </c>
      <c r="E20" s="23">
        <f>COUNTIF($H$28:$H$81,A20)</f>
        <v/>
      </c>
      <c r="F20" s="24">
        <f>SUMIF($H$28:$H$81,A20,$F$28:$F$81)</f>
        <v/>
      </c>
      <c r="G20" s="25">
        <f>IF($F$82=0,0,F20/$F$82)</f>
        <v/>
      </c>
    </row>
    <row r="21">
      <c r="A21" s="23" t="inlineStr">
        <is>
          <t>Cade Covington</t>
        </is>
      </c>
      <c r="B21" s="23" t="inlineStr">
        <is>
          <t>Northern Utah</t>
        </is>
      </c>
      <c r="C21" s="23" t="inlineStr">
        <is>
          <t>Level 3</t>
        </is>
      </c>
      <c r="D21" s="23" t="inlineStr">
        <is>
          <t>Dane Covington</t>
        </is>
      </c>
      <c r="E21" s="23">
        <f>COUNTIF($H$28:$H$81,A21)</f>
        <v/>
      </c>
      <c r="F21" s="24">
        <f>SUMIF($H$28:$H$81,A21,$F$28:$F$81)</f>
        <v/>
      </c>
      <c r="G21" s="25">
        <f>IF($F$82=0,0,F21/$F$82)</f>
        <v/>
      </c>
    </row>
    <row r="22">
      <c r="A22" s="26" t="inlineStr">
        <is>
          <t>Caleb Fransen</t>
        </is>
      </c>
      <c r="B22" s="26" t="inlineStr">
        <is>
          <t>Eastern Idaho</t>
        </is>
      </c>
      <c r="C22" s="26" t="inlineStr">
        <is>
          <t>Level 4</t>
        </is>
      </c>
      <c r="D22" s="26" t="inlineStr">
        <is>
          <t>Alan Fransen</t>
        </is>
      </c>
      <c r="E22" s="26">
        <f>COUNTIF($H$28:$H$81,A22)</f>
        <v/>
      </c>
      <c r="F22" s="27">
        <f>SUMIF($H$28:$H$81,A22,$F$28:$F$81)</f>
        <v/>
      </c>
      <c r="G22" s="28">
        <f>IF($F$82=0,0,F22/$F$82)</f>
        <v/>
      </c>
    </row>
    <row r="23">
      <c r="A23" s="26" t="inlineStr">
        <is>
          <t>Isabella Basanta</t>
        </is>
      </c>
      <c r="B23" s="26" t="inlineStr">
        <is>
          <t>Northern Utah</t>
        </is>
      </c>
      <c r="C23" s="26" t="inlineStr">
        <is>
          <t>Level 5</t>
        </is>
      </c>
      <c r="D23" s="26" t="inlineStr">
        <is>
          <t>Mario Torres</t>
        </is>
      </c>
      <c r="E23" s="26">
        <f>COUNTIF($H$28:$H$81,A23)</f>
        <v/>
      </c>
      <c r="F23" s="27">
        <f>SUMIF($H$28:$H$81,A23,$F$28:$F$81)</f>
        <v/>
      </c>
      <c r="G23" s="28">
        <f>IF($F$82=0,0,F23/$F$82)</f>
        <v/>
      </c>
    </row>
    <row r="24">
      <c r="A24" s="29" t="inlineStr">
        <is>
          <t>TOTAL</t>
        </is>
      </c>
      <c r="B24" s="7" t="n"/>
      <c r="C24" s="7" t="n"/>
      <c r="D24" s="7" t="n"/>
      <c r="E24" s="30">
        <f>SUM(E6:E23)</f>
        <v/>
      </c>
      <c r="F24" s="31">
        <f>SUM(F6:F23)</f>
        <v/>
      </c>
      <c r="G24" s="32">
        <f>SUM(G6:G23)</f>
        <v/>
      </c>
    </row>
    <row r="26">
      <c r="A26" s="15" t="inlineStr">
        <is>
          <t>Opportunities</t>
        </is>
      </c>
    </row>
    <row r="27">
      <c r="A27" s="16" t="inlineStr">
        <is>
          <t>Opportunity</t>
        </is>
      </c>
      <c r="B27" s="16" t="inlineStr">
        <is>
          <t>Sales Team</t>
        </is>
      </c>
      <c r="C27" s="16" t="inlineStr">
        <is>
          <t>Canvasser</t>
        </is>
      </c>
      <c r="D27" s="16" t="inlineStr">
        <is>
          <t>Closer</t>
        </is>
      </c>
      <c r="E27" s="16" t="inlineStr">
        <is>
          <t>Closing Date</t>
        </is>
      </c>
      <c r="F27" s="16" t="inlineStr">
        <is>
          <t>Contract Value</t>
        </is>
      </c>
      <c r="G27" s="16" t="inlineStr">
        <is>
          <t>Downline</t>
        </is>
      </c>
      <c r="H27" s="16" t="inlineStr">
        <is>
          <t>Credited Via</t>
        </is>
      </c>
    </row>
    <row r="28">
      <c r="A28" s="17" t="inlineStr">
        <is>
          <t>Robert &amp; Maria Becker / 2405 3rd Ave N</t>
        </is>
      </c>
      <c r="B28" s="17" t="inlineStr">
        <is>
          <t>Eastern Idaho</t>
        </is>
      </c>
      <c r="C28" s="17" t="inlineStr">
        <is>
          <t>Brian Gwyn</t>
        </is>
      </c>
      <c r="D28" s="17" t="inlineStr">
        <is>
          <t>Brian Gwyn</t>
        </is>
      </c>
      <c r="E28" s="33" t="n">
        <v>46295</v>
      </c>
      <c r="F28" s="18" t="n">
        <v>47530</v>
      </c>
      <c r="G28" s="17" t="inlineStr">
        <is>
          <t>Level 1</t>
        </is>
      </c>
      <c r="H28" s="17" t="inlineStr">
        <is>
          <t>Brian Gwyn</t>
        </is>
      </c>
    </row>
    <row r="29">
      <c r="A29" s="17" t="inlineStr">
        <is>
          <t>Laron Crosland / 2217 W Windchime Dr</t>
        </is>
      </c>
      <c r="B29" s="17" t="inlineStr">
        <is>
          <t>Northern Utah</t>
        </is>
      </c>
      <c r="C29" s="17" t="inlineStr">
        <is>
          <t>Carl Crosland</t>
        </is>
      </c>
      <c r="D29" s="17" t="inlineStr">
        <is>
          <t>Carl Crosland</t>
        </is>
      </c>
      <c r="E29" s="33" t="n">
        <v>46284</v>
      </c>
      <c r="F29" s="18" t="n">
        <v>43926</v>
      </c>
      <c r="G29" s="17" t="inlineStr">
        <is>
          <t>Level 1</t>
        </is>
      </c>
      <c r="H29" s="17" t="inlineStr">
        <is>
          <t>Carl Crosland</t>
        </is>
      </c>
    </row>
    <row r="30">
      <c r="A30" s="17" t="inlineStr">
        <is>
          <t>Zach Lubek / 4314 Palisades Park Dr</t>
        </is>
      </c>
      <c r="B30" s="17" t="inlineStr">
        <is>
          <t>Southern Utah</t>
        </is>
      </c>
      <c r="C30" s="17" t="inlineStr">
        <is>
          <t>Kress Johnson</t>
        </is>
      </c>
      <c r="D30" s="17" t="inlineStr">
        <is>
          <t>Nathan Lewis</t>
        </is>
      </c>
      <c r="E30" s="33" t="n">
        <v>46285</v>
      </c>
      <c r="F30" s="18" t="n">
        <v>34014</v>
      </c>
      <c r="G30" s="17" t="inlineStr">
        <is>
          <t>Level 1</t>
        </is>
      </c>
      <c r="H30" s="17" t="inlineStr">
        <is>
          <t>Kress Johnson</t>
        </is>
      </c>
    </row>
    <row r="31">
      <c r="A31" s="17" t="inlineStr">
        <is>
          <t>Nathan Royer / 4245 Palisades Park Dr</t>
        </is>
      </c>
      <c r="B31" s="17" t="inlineStr">
        <is>
          <t>Southern Utah</t>
        </is>
      </c>
      <c r="C31" s="17" t="inlineStr">
        <is>
          <t>Kress Johnson</t>
        </is>
      </c>
      <c r="D31" s="17" t="inlineStr">
        <is>
          <t>Nathan Lewis</t>
        </is>
      </c>
      <c r="E31" s="33" t="n">
        <v>46283</v>
      </c>
      <c r="F31" s="18" t="n">
        <v>31755</v>
      </c>
      <c r="G31" s="17" t="inlineStr">
        <is>
          <t>Level 1</t>
        </is>
      </c>
      <c r="H31" s="17" t="inlineStr">
        <is>
          <t>Kress Johnson</t>
        </is>
      </c>
    </row>
    <row r="32">
      <c r="A32" s="17" t="inlineStr">
        <is>
          <t>Cindy Sahli / 3941 Rimrock Rd</t>
        </is>
      </c>
      <c r="B32" s="17" t="inlineStr">
        <is>
          <t>Southern Utah</t>
        </is>
      </c>
      <c r="C32" s="17" t="inlineStr">
        <is>
          <t>Kress Johnson</t>
        </is>
      </c>
      <c r="D32" s="17" t="inlineStr">
        <is>
          <t>JJ Gurney</t>
        </is>
      </c>
      <c r="E32" s="33" t="n">
        <v>46282</v>
      </c>
      <c r="F32" s="18" t="n">
        <v>25350</v>
      </c>
      <c r="G32" s="17" t="inlineStr">
        <is>
          <t>Level 1</t>
        </is>
      </c>
      <c r="H32" s="17" t="inlineStr">
        <is>
          <t>Kress Johnson</t>
        </is>
      </c>
    </row>
    <row r="33">
      <c r="A33" s="17" t="inlineStr">
        <is>
          <t>Mark Earnhardt / 1 Starwood Dr</t>
        </is>
      </c>
      <c r="B33" s="17" t="inlineStr">
        <is>
          <t>Northern Utah</t>
        </is>
      </c>
      <c r="C33" s="17" t="inlineStr">
        <is>
          <t>Carl Crosland</t>
        </is>
      </c>
      <c r="D33" s="17" t="inlineStr">
        <is>
          <t>Carl Crosland</t>
        </is>
      </c>
      <c r="E33" s="33" t="n">
        <v>46279</v>
      </c>
      <c r="F33" s="18" t="n">
        <v>20821</v>
      </c>
      <c r="G33" s="17" t="inlineStr">
        <is>
          <t>Level 1</t>
        </is>
      </c>
      <c r="H33" s="17" t="inlineStr">
        <is>
          <t>Carl Crosland</t>
        </is>
      </c>
    </row>
    <row r="34">
      <c r="A34" s="17" t="inlineStr">
        <is>
          <t>Tami Ellis / 130 Briarwood Ln</t>
        </is>
      </c>
      <c r="B34" s="17" t="inlineStr">
        <is>
          <t>Northern Utah</t>
        </is>
      </c>
      <c r="C34" s="17" t="inlineStr">
        <is>
          <t>Jason Trolson</t>
        </is>
      </c>
      <c r="D34" s="17" t="inlineStr">
        <is>
          <t>Dane Covington</t>
        </is>
      </c>
      <c r="E34" s="33" t="n">
        <v>46278</v>
      </c>
      <c r="F34" s="18" t="n">
        <v>20565</v>
      </c>
      <c r="G34" s="17" t="inlineStr">
        <is>
          <t>Level 1</t>
        </is>
      </c>
      <c r="H34" s="17" t="inlineStr">
        <is>
          <t>Jason Trolson</t>
        </is>
      </c>
    </row>
    <row r="35">
      <c r="A35" s="17" t="inlineStr">
        <is>
          <t>Bob Oldenburg / 3771 Sparrow Dr</t>
        </is>
      </c>
      <c r="B35" s="17" t="inlineStr">
        <is>
          <t>Northern Utah</t>
        </is>
      </c>
      <c r="C35" s="17" t="inlineStr">
        <is>
          <t>Carl Crosland</t>
        </is>
      </c>
      <c r="D35" s="17" t="inlineStr">
        <is>
          <t>Carl Crosland</t>
        </is>
      </c>
      <c r="E35" s="33" t="n">
        <v>46280</v>
      </c>
      <c r="F35" s="18" t="n">
        <v>12757</v>
      </c>
      <c r="G35" s="17" t="inlineStr">
        <is>
          <t>Level 1</t>
        </is>
      </c>
      <c r="H35" s="17" t="inlineStr">
        <is>
          <t>Carl Crosland</t>
        </is>
      </c>
    </row>
    <row r="36">
      <c r="A36" s="17" t="inlineStr">
        <is>
          <t>Ronda Hair 2 / 513 W Salem Canal Rd</t>
        </is>
      </c>
      <c r="B36" s="17" t="inlineStr">
        <is>
          <t>Northern Utah</t>
        </is>
      </c>
      <c r="C36" s="17" t="inlineStr">
        <is>
          <t>Carl Crosland</t>
        </is>
      </c>
      <c r="D36" s="17" t="inlineStr">
        <is>
          <t>Carl Crosland</t>
        </is>
      </c>
      <c r="E36" s="33" t="n">
        <v>46267</v>
      </c>
      <c r="F36" s="18" t="n">
        <v>1489</v>
      </c>
      <c r="G36" s="17" t="inlineStr">
        <is>
          <t>Level 1</t>
        </is>
      </c>
      <c r="H36" s="17" t="inlineStr">
        <is>
          <t>Carl Crosland</t>
        </is>
      </c>
    </row>
    <row r="37">
      <c r="A37" s="20" t="inlineStr">
        <is>
          <t>Lewis Disbrow / 2473 Pine St</t>
        </is>
      </c>
      <c r="B37" s="20" t="inlineStr">
        <is>
          <t>Northern California</t>
        </is>
      </c>
      <c r="C37" s="20" t="inlineStr">
        <is>
          <t>Ryan Kelsey</t>
        </is>
      </c>
      <c r="D37" s="20" t="inlineStr">
        <is>
          <t>Ryan Kelsey</t>
        </is>
      </c>
      <c r="E37" s="34" t="n">
        <v>46273</v>
      </c>
      <c r="F37" s="21" t="n">
        <v>43003</v>
      </c>
      <c r="G37" s="20" t="inlineStr">
        <is>
          <t>Level 2</t>
        </is>
      </c>
      <c r="H37" s="20" t="inlineStr">
        <is>
          <t>Ryan Kelsey</t>
        </is>
      </c>
    </row>
    <row r="38">
      <c r="A38" s="20" t="inlineStr">
        <is>
          <t>Brett Breaud / 1 Prospect Way</t>
        </is>
      </c>
      <c r="B38" s="20" t="inlineStr">
        <is>
          <t>Eastern Idaho</t>
        </is>
      </c>
      <c r="C38" s="20" t="inlineStr">
        <is>
          <t>Nick Brown</t>
        </is>
      </c>
      <c r="D38" s="20" t="inlineStr">
        <is>
          <t>Nick Brown</t>
        </is>
      </c>
      <c r="E38" s="34" t="n">
        <v>46291</v>
      </c>
      <c r="F38" s="21" t="n">
        <v>26855</v>
      </c>
      <c r="G38" s="20" t="inlineStr">
        <is>
          <t>Level 2</t>
        </is>
      </c>
      <c r="H38" s="20" t="inlineStr">
        <is>
          <t>Nick Brown</t>
        </is>
      </c>
    </row>
    <row r="39">
      <c r="A39" s="20" t="inlineStr">
        <is>
          <t>Mike Bakke / 1122 Choteau St</t>
        </is>
      </c>
      <c r="B39" s="20" t="inlineStr">
        <is>
          <t>Northern Utah</t>
        </is>
      </c>
      <c r="C39" s="20" t="inlineStr">
        <is>
          <t>Dane Covington</t>
        </is>
      </c>
      <c r="D39" s="20" t="inlineStr">
        <is>
          <t>Dane Covington</t>
        </is>
      </c>
      <c r="E39" s="34" t="n">
        <v>46279</v>
      </c>
      <c r="F39" s="21" t="n">
        <v>25357</v>
      </c>
      <c r="G39" s="20" t="inlineStr">
        <is>
          <t>Level 2</t>
        </is>
      </c>
      <c r="H39" s="20" t="inlineStr">
        <is>
          <t>Dane Covington</t>
        </is>
      </c>
    </row>
    <row r="40">
      <c r="A40" s="20" t="inlineStr">
        <is>
          <t>Karen Tomajan / 623 Pasa Tiempo Ct</t>
        </is>
      </c>
      <c r="B40" s="20" t="inlineStr">
        <is>
          <t>Northern California</t>
        </is>
      </c>
      <c r="C40" s="20" t="inlineStr">
        <is>
          <t>Ryan Kelsey</t>
        </is>
      </c>
      <c r="D40" s="20" t="inlineStr">
        <is>
          <t>Ryan Kelsey</t>
        </is>
      </c>
      <c r="E40" s="34" t="n">
        <v>46277</v>
      </c>
      <c r="F40" s="21" t="n">
        <v>22991</v>
      </c>
      <c r="G40" s="20" t="inlineStr">
        <is>
          <t>Level 2</t>
        </is>
      </c>
      <c r="H40" s="20" t="inlineStr">
        <is>
          <t>Ryan Kelsey</t>
        </is>
      </c>
    </row>
    <row r="41">
      <c r="A41" s="20" t="inlineStr">
        <is>
          <t>Kirsten Madsen / 703 8th Ave</t>
        </is>
      </c>
      <c r="B41" s="20" t="inlineStr">
        <is>
          <t>Northern Utah</t>
        </is>
      </c>
      <c r="C41" s="20" t="inlineStr">
        <is>
          <t>Dane Covington</t>
        </is>
      </c>
      <c r="D41" s="20" t="inlineStr">
        <is>
          <t>Dane Covington</t>
        </is>
      </c>
      <c r="E41" s="34" t="n">
        <v>46287</v>
      </c>
      <c r="F41" s="21" t="n">
        <v>22079</v>
      </c>
      <c r="G41" s="20" t="inlineStr">
        <is>
          <t>Level 2</t>
        </is>
      </c>
      <c r="H41" s="20" t="inlineStr">
        <is>
          <t>Dane Covington</t>
        </is>
      </c>
    </row>
    <row r="42">
      <c r="A42" s="20" t="inlineStr">
        <is>
          <t>Carroll Benjamin / 606 E Groschell St</t>
        </is>
      </c>
      <c r="B42" s="20" t="inlineStr">
        <is>
          <t>Northern Utah</t>
        </is>
      </c>
      <c r="C42" s="20" t="inlineStr">
        <is>
          <t>Todd Hess</t>
        </is>
      </c>
      <c r="D42" s="20" t="inlineStr">
        <is>
          <t>Todd Hess</t>
        </is>
      </c>
      <c r="E42" s="34" t="n">
        <v>46270</v>
      </c>
      <c r="F42" s="21" t="n">
        <v>21582</v>
      </c>
      <c r="G42" s="20" t="inlineStr">
        <is>
          <t>Level 2</t>
        </is>
      </c>
      <c r="H42" s="20" t="inlineStr">
        <is>
          <t>Todd Hess</t>
        </is>
      </c>
    </row>
    <row r="43">
      <c r="A43" s="20" t="inlineStr">
        <is>
          <t>Cathy McGoff / 2055 Cactus Ct Apt 3</t>
        </is>
      </c>
      <c r="B43" s="20" t="inlineStr">
        <is>
          <t>Northern California</t>
        </is>
      </c>
      <c r="C43" s="20" t="inlineStr">
        <is>
          <t>Ryan Kelsey</t>
        </is>
      </c>
      <c r="D43" s="20" t="inlineStr">
        <is>
          <t>Ryan Kelsey</t>
        </is>
      </c>
      <c r="E43" s="34" t="n">
        <v>46267</v>
      </c>
      <c r="F43" s="21" t="n">
        <v>21244</v>
      </c>
      <c r="G43" s="20" t="inlineStr">
        <is>
          <t>Level 2</t>
        </is>
      </c>
      <c r="H43" s="20" t="inlineStr">
        <is>
          <t>Ryan Kelsey</t>
        </is>
      </c>
    </row>
    <row r="44">
      <c r="A44" s="20" t="inlineStr">
        <is>
          <t>Shawna Williams / 2213 Pauline Dr</t>
        </is>
      </c>
      <c r="B44" s="20" t="inlineStr">
        <is>
          <t>Eastern Idaho</t>
        </is>
      </c>
      <c r="C44" s="20" t="inlineStr">
        <is>
          <t>Nick Brown</t>
        </is>
      </c>
      <c r="D44" s="20" t="inlineStr">
        <is>
          <t>Nick Brown</t>
        </is>
      </c>
      <c r="E44" s="34" t="n">
        <v>46274</v>
      </c>
      <c r="F44" s="21" t="n">
        <v>16955</v>
      </c>
      <c r="G44" s="20" t="inlineStr">
        <is>
          <t>Level 2</t>
        </is>
      </c>
      <c r="H44" s="20" t="inlineStr">
        <is>
          <t>Nick Brown</t>
        </is>
      </c>
    </row>
    <row r="45">
      <c r="A45" s="20" t="inlineStr">
        <is>
          <t>Denise Gjerde / 411 W Riggs St</t>
        </is>
      </c>
      <c r="B45" s="20" t="inlineStr">
        <is>
          <t>Northern Utah</t>
        </is>
      </c>
      <c r="C45" s="20" t="inlineStr">
        <is>
          <t>Todd Hess</t>
        </is>
      </c>
      <c r="D45" s="20" t="inlineStr">
        <is>
          <t>Todd Hess</t>
        </is>
      </c>
      <c r="E45" s="34" t="n">
        <v>46271</v>
      </c>
      <c r="F45" s="21" t="n">
        <v>16157</v>
      </c>
      <c r="G45" s="20" t="inlineStr">
        <is>
          <t>Level 2</t>
        </is>
      </c>
      <c r="H45" s="20" t="inlineStr">
        <is>
          <t>Todd Hess</t>
        </is>
      </c>
    </row>
    <row r="46">
      <c r="A46" s="20" t="inlineStr">
        <is>
          <t>Bryant Gauthier / 1827 Hollins Ave</t>
        </is>
      </c>
      <c r="B46" s="20" t="inlineStr">
        <is>
          <t>Northern Utah</t>
        </is>
      </c>
      <c r="C46" s="20" t="inlineStr">
        <is>
          <t>Dane Covington</t>
        </is>
      </c>
      <c r="D46" s="20" t="inlineStr">
        <is>
          <t>Dane Covington</t>
        </is>
      </c>
      <c r="E46" s="34" t="n">
        <v>46284</v>
      </c>
      <c r="F46" s="21" t="n">
        <v>16030</v>
      </c>
      <c r="G46" s="20" t="inlineStr">
        <is>
          <t>Level 2</t>
        </is>
      </c>
      <c r="H46" s="20" t="inlineStr">
        <is>
          <t>Dane Covington</t>
        </is>
      </c>
    </row>
    <row r="47">
      <c r="A47" s="20" t="inlineStr">
        <is>
          <t>Maralene Spawn / 1242 Cortez Ave</t>
        </is>
      </c>
      <c r="B47" s="20" t="inlineStr">
        <is>
          <t>Southern Utah</t>
        </is>
      </c>
      <c r="C47" s="20" t="inlineStr">
        <is>
          <t>Ethan Saxton</t>
        </is>
      </c>
      <c r="D47" s="20" t="inlineStr">
        <is>
          <t>Jordan Naylor</t>
        </is>
      </c>
      <c r="E47" s="34" t="n">
        <v>46279</v>
      </c>
      <c r="F47" s="21" t="n">
        <v>15127</v>
      </c>
      <c r="G47" s="20" t="inlineStr">
        <is>
          <t>Level 2</t>
        </is>
      </c>
      <c r="H47" s="20" t="inlineStr">
        <is>
          <t>Ethan Saxton</t>
        </is>
      </c>
    </row>
    <row r="48">
      <c r="A48" s="20" t="inlineStr">
        <is>
          <t>Russell Simmons / 100 Sharon Dr</t>
        </is>
      </c>
      <c r="B48" s="20" t="inlineStr">
        <is>
          <t>Eastern Idaho</t>
        </is>
      </c>
      <c r="C48" s="20" t="inlineStr">
        <is>
          <t>Nick Brown</t>
        </is>
      </c>
      <c r="D48" s="20" t="inlineStr">
        <is>
          <t>Nick Brown</t>
        </is>
      </c>
      <c r="E48" s="34" t="n">
        <v>46288</v>
      </c>
      <c r="F48" s="21" t="n">
        <v>15055</v>
      </c>
      <c r="G48" s="20" t="inlineStr">
        <is>
          <t>Level 2</t>
        </is>
      </c>
      <c r="H48" s="20" t="inlineStr">
        <is>
          <t>Nick Brown</t>
        </is>
      </c>
    </row>
    <row r="49">
      <c r="A49" s="20" t="inlineStr">
        <is>
          <t>Robert Peraino / 3255 Humble Rd</t>
        </is>
      </c>
      <c r="B49" s="20" t="inlineStr">
        <is>
          <t>Eastern Idaho</t>
        </is>
      </c>
      <c r="C49" s="20" t="inlineStr">
        <is>
          <t>Nick Brown</t>
        </is>
      </c>
      <c r="D49" s="20" t="inlineStr">
        <is>
          <t>Nick Brown</t>
        </is>
      </c>
      <c r="E49" s="34" t="n">
        <v>46277</v>
      </c>
      <c r="F49" s="21" t="n">
        <v>10098</v>
      </c>
      <c r="G49" s="20" t="inlineStr">
        <is>
          <t>Level 2</t>
        </is>
      </c>
      <c r="H49" s="20" t="inlineStr">
        <is>
          <t>Nick Brown</t>
        </is>
      </c>
    </row>
    <row r="50">
      <c r="A50" s="20" t="inlineStr">
        <is>
          <t>Darlene Bohl / 1082 Sierra Granda Blvd</t>
        </is>
      </c>
      <c r="B50" s="20" t="inlineStr">
        <is>
          <t>Southern Utah</t>
        </is>
      </c>
      <c r="C50" s="20" t="inlineStr">
        <is>
          <t>Ethan Saxton</t>
        </is>
      </c>
      <c r="D50" s="20" t="inlineStr">
        <is>
          <t>Nathan Lewis</t>
        </is>
      </c>
      <c r="E50" s="34" t="n">
        <v>46282</v>
      </c>
      <c r="F50" s="21" t="n">
        <v>9869</v>
      </c>
      <c r="G50" s="20" t="inlineStr">
        <is>
          <t>Level 2</t>
        </is>
      </c>
      <c r="H50" s="20" t="inlineStr">
        <is>
          <t>Ethan Saxton</t>
        </is>
      </c>
    </row>
    <row r="51">
      <c r="A51" s="20" t="inlineStr">
        <is>
          <t>Kasey Morris / 1330 Country Home Ln</t>
        </is>
      </c>
      <c r="B51" s="20" t="inlineStr">
        <is>
          <t>Eastern Idaho</t>
        </is>
      </c>
      <c r="C51" s="20" t="inlineStr">
        <is>
          <t>Nick Brown</t>
        </is>
      </c>
      <c r="D51" s="20" t="inlineStr">
        <is>
          <t>Nick Brown</t>
        </is>
      </c>
      <c r="E51" s="34" t="n">
        <v>46289</v>
      </c>
      <c r="F51" s="21" t="n">
        <v>7603</v>
      </c>
      <c r="G51" s="20" t="inlineStr">
        <is>
          <t>Level 2</t>
        </is>
      </c>
      <c r="H51" s="20" t="inlineStr">
        <is>
          <t>Nick Brown</t>
        </is>
      </c>
    </row>
    <row r="52">
      <c r="A52" s="20" t="inlineStr">
        <is>
          <t>Sandy Kurek 2 / 1100 S 200 W</t>
        </is>
      </c>
      <c r="B52" s="20" t="inlineStr">
        <is>
          <t>Northern Utah</t>
        </is>
      </c>
      <c r="C52" s="20" t="inlineStr">
        <is>
          <t>Dane Covington</t>
        </is>
      </c>
      <c r="D52" s="20" t="inlineStr">
        <is>
          <t>Dane Covington</t>
        </is>
      </c>
      <c r="E52" s="34" t="n">
        <v>46294</v>
      </c>
      <c r="F52" s="21" t="n">
        <v>7159</v>
      </c>
      <c r="G52" s="20" t="inlineStr">
        <is>
          <t>Level 2</t>
        </is>
      </c>
      <c r="H52" s="20" t="inlineStr">
        <is>
          <t>Dane Covington</t>
        </is>
      </c>
    </row>
    <row r="53">
      <c r="A53" s="20" t="inlineStr">
        <is>
          <t>James Burdick / 1902 Wilder Ave</t>
        </is>
      </c>
      <c r="B53" s="20" t="inlineStr">
        <is>
          <t>Northern Utah</t>
        </is>
      </c>
      <c r="C53" s="20" t="inlineStr">
        <is>
          <t>Dane Covington</t>
        </is>
      </c>
      <c r="D53" s="20" t="inlineStr">
        <is>
          <t>Dane Covington</t>
        </is>
      </c>
      <c r="E53" s="34" t="n">
        <v>46278</v>
      </c>
      <c r="F53" s="21" t="n">
        <v>4760</v>
      </c>
      <c r="G53" s="20" t="inlineStr">
        <is>
          <t>Level 2</t>
        </is>
      </c>
      <c r="H53" s="20" t="inlineStr">
        <is>
          <t>Dane Covington</t>
        </is>
      </c>
    </row>
    <row r="54">
      <c r="A54" s="20" t="inlineStr">
        <is>
          <t>Jan Hardman 2 / 2147 S 5900 W</t>
        </is>
      </c>
      <c r="B54" s="20" t="inlineStr">
        <is>
          <t>Northern Utah</t>
        </is>
      </c>
      <c r="C54" s="20" t="inlineStr">
        <is>
          <t>Tanner Crosland</t>
        </is>
      </c>
      <c r="D54" s="20" t="inlineStr">
        <is>
          <t>Todd Hess</t>
        </is>
      </c>
      <c r="E54" s="34" t="n">
        <v>46267</v>
      </c>
      <c r="F54" s="21" t="n">
        <v>2344</v>
      </c>
      <c r="G54" s="20" t="inlineStr">
        <is>
          <t>Level 2</t>
        </is>
      </c>
      <c r="H54" s="20" t="inlineStr">
        <is>
          <t>Tanner Crosland</t>
        </is>
      </c>
    </row>
    <row r="55">
      <c r="A55" s="23" t="inlineStr">
        <is>
          <t>Phil Bushilla / 701 Red Letter St</t>
        </is>
      </c>
      <c r="B55" s="23" t="inlineStr">
        <is>
          <t>Northern Utah</t>
        </is>
      </c>
      <c r="C55" s="23" t="inlineStr">
        <is>
          <t>Camille Gerritsen</t>
        </is>
      </c>
      <c r="D55" s="23" t="inlineStr">
        <is>
          <t>Carl Crosland</t>
        </is>
      </c>
      <c r="E55" s="35" t="n">
        <v>46277</v>
      </c>
      <c r="F55" s="24" t="n">
        <v>25904</v>
      </c>
      <c r="G55" s="23" t="inlineStr">
        <is>
          <t>Level 3</t>
        </is>
      </c>
      <c r="H55" s="23" t="inlineStr">
        <is>
          <t>Camille Gerritsen</t>
        </is>
      </c>
    </row>
    <row r="56">
      <c r="A56" s="23" t="inlineStr">
        <is>
          <t>Brian Morris / 2102 Turmaline Ct</t>
        </is>
      </c>
      <c r="B56" s="23" t="inlineStr">
        <is>
          <t>Northern Utah</t>
        </is>
      </c>
      <c r="C56" s="23" t="inlineStr">
        <is>
          <t>Camille Gerritsen</t>
        </is>
      </c>
      <c r="D56" s="23" t="inlineStr">
        <is>
          <t>Dane Covington</t>
        </is>
      </c>
      <c r="E56" s="35" t="n">
        <v>46279</v>
      </c>
      <c r="F56" s="24" t="n">
        <v>20817</v>
      </c>
      <c r="G56" s="23" t="inlineStr">
        <is>
          <t>Level 3</t>
        </is>
      </c>
      <c r="H56" s="23" t="inlineStr">
        <is>
          <t>Camille Gerritsen</t>
        </is>
      </c>
    </row>
    <row r="57">
      <c r="A57" s="23" t="inlineStr">
        <is>
          <t>Timothy Broadbrooks / 3472 Ayden Rd</t>
        </is>
      </c>
      <c r="B57" s="23" t="inlineStr">
        <is>
          <t>Northern Utah</t>
        </is>
      </c>
      <c r="C57" s="23" t="inlineStr">
        <is>
          <t>Shawn Harding</t>
        </is>
      </c>
      <c r="D57" s="23" t="inlineStr">
        <is>
          <t>Todd Hess</t>
        </is>
      </c>
      <c r="E57" s="35" t="n">
        <v>46279</v>
      </c>
      <c r="F57" s="24" t="n">
        <v>20247</v>
      </c>
      <c r="G57" s="23" t="inlineStr">
        <is>
          <t>Level 3</t>
        </is>
      </c>
      <c r="H57" s="23" t="inlineStr">
        <is>
          <t>Shawn Harding</t>
        </is>
      </c>
    </row>
    <row r="58">
      <c r="A58" s="23" t="inlineStr">
        <is>
          <t>Maria Rocio Heinemann / 8150 Lazy H Trl</t>
        </is>
      </c>
      <c r="B58" s="23" t="inlineStr">
        <is>
          <t>Eastern Idaho</t>
        </is>
      </c>
      <c r="C58" s="23" t="inlineStr">
        <is>
          <t>Amber Heer</t>
        </is>
      </c>
      <c r="D58" s="23" t="inlineStr">
        <is>
          <t>Nick Brown</t>
        </is>
      </c>
      <c r="E58" s="35" t="n">
        <v>46277</v>
      </c>
      <c r="F58" s="24" t="n">
        <v>19764</v>
      </c>
      <c r="G58" s="23" t="inlineStr">
        <is>
          <t>Level 3</t>
        </is>
      </c>
      <c r="H58" s="23" t="inlineStr">
        <is>
          <t>Amber Heer</t>
        </is>
      </c>
    </row>
    <row r="59">
      <c r="A59" s="23" t="inlineStr">
        <is>
          <t>Manuel Fagundes / 67 Embry Ln</t>
        </is>
      </c>
      <c r="B59" s="23" t="inlineStr">
        <is>
          <t>Eastern Idaho</t>
        </is>
      </c>
      <c r="C59" s="23" t="inlineStr">
        <is>
          <t>Zackary Johnston</t>
        </is>
      </c>
      <c r="D59" s="23" t="inlineStr">
        <is>
          <t>Nick Brown</t>
        </is>
      </c>
      <c r="E59" s="35" t="n">
        <v>46292</v>
      </c>
      <c r="F59" s="24" t="n">
        <v>17474</v>
      </c>
      <c r="G59" s="23" t="inlineStr">
        <is>
          <t>Level 3</t>
        </is>
      </c>
      <c r="H59" s="23" t="inlineStr">
        <is>
          <t>Zackary Johnston</t>
        </is>
      </c>
    </row>
    <row r="60">
      <c r="A60" s="23" t="inlineStr">
        <is>
          <t>Chad Guymon / 3755 Pioneer Park Dr</t>
        </is>
      </c>
      <c r="B60" s="23" t="inlineStr">
        <is>
          <t>Northern Utah</t>
        </is>
      </c>
      <c r="C60" s="23" t="inlineStr">
        <is>
          <t>Shawn Harding</t>
        </is>
      </c>
      <c r="D60" s="23" t="inlineStr">
        <is>
          <t>Todd Hess</t>
        </is>
      </c>
      <c r="E60" s="35" t="n">
        <v>46280</v>
      </c>
      <c r="F60" s="24" t="n">
        <v>16393</v>
      </c>
      <c r="G60" s="23" t="inlineStr">
        <is>
          <t>Level 3</t>
        </is>
      </c>
      <c r="H60" s="23" t="inlineStr">
        <is>
          <t>Shawn Harding</t>
        </is>
      </c>
    </row>
    <row r="61">
      <c r="A61" s="23" t="inlineStr">
        <is>
          <t>Jason Brenna / 703 E Riggs St</t>
        </is>
      </c>
      <c r="B61" s="23" t="inlineStr">
        <is>
          <t>Northern Utah</t>
        </is>
      </c>
      <c r="C61" s="23" t="inlineStr">
        <is>
          <t>Shawn Harding</t>
        </is>
      </c>
      <c r="D61" s="23" t="inlineStr">
        <is>
          <t>Todd Hess</t>
        </is>
      </c>
      <c r="E61" s="35" t="n">
        <v>46282</v>
      </c>
      <c r="F61" s="24" t="n">
        <v>15992</v>
      </c>
      <c r="G61" s="23" t="inlineStr">
        <is>
          <t>Level 3</t>
        </is>
      </c>
      <c r="H61" s="23" t="inlineStr">
        <is>
          <t>Shawn Harding</t>
        </is>
      </c>
    </row>
    <row r="62">
      <c r="A62" s="23" t="inlineStr">
        <is>
          <t>David Poulson / 4443 E 116 N</t>
        </is>
      </c>
      <c r="B62" s="23" t="inlineStr">
        <is>
          <t>Eastern Idaho</t>
        </is>
      </c>
      <c r="C62" s="23" t="inlineStr">
        <is>
          <t>Alan Fransen</t>
        </is>
      </c>
      <c r="D62" s="23" t="inlineStr">
        <is>
          <t>Alan Fransen</t>
        </is>
      </c>
      <c r="E62" s="35" t="n">
        <v>46279</v>
      </c>
      <c r="F62" s="24" t="n">
        <v>13785</v>
      </c>
      <c r="G62" s="23" t="inlineStr">
        <is>
          <t>Level 3</t>
        </is>
      </c>
      <c r="H62" s="23" t="inlineStr">
        <is>
          <t>Alan Fransen</t>
        </is>
      </c>
    </row>
    <row r="63">
      <c r="A63" s="23" t="inlineStr">
        <is>
          <t>Forrest Barnes / 237 N 4300 E</t>
        </is>
      </c>
      <c r="B63" s="23" t="inlineStr">
        <is>
          <t>Eastern Idaho</t>
        </is>
      </c>
      <c r="C63" s="23" t="inlineStr">
        <is>
          <t>Alan Fransen</t>
        </is>
      </c>
      <c r="D63" s="23" t="inlineStr">
        <is>
          <t>Alan Fransen</t>
        </is>
      </c>
      <c r="E63" s="35" t="n">
        <v>46289</v>
      </c>
      <c r="F63" s="24" t="n">
        <v>13441</v>
      </c>
      <c r="G63" s="23" t="inlineStr">
        <is>
          <t>Level 3</t>
        </is>
      </c>
      <c r="H63" s="23" t="inlineStr">
        <is>
          <t>Alan Fransen</t>
        </is>
      </c>
    </row>
    <row r="64">
      <c r="A64" s="23" t="inlineStr">
        <is>
          <t>Kathy Jacobsen / 3220 Rocky Rd</t>
        </is>
      </c>
      <c r="B64" s="23" t="inlineStr">
        <is>
          <t>Northern Utah</t>
        </is>
      </c>
      <c r="C64" s="23" t="inlineStr">
        <is>
          <t>Shawn Harding</t>
        </is>
      </c>
      <c r="D64" s="23" t="inlineStr">
        <is>
          <t>Todd Hess</t>
        </is>
      </c>
      <c r="E64" s="35" t="n">
        <v>46283</v>
      </c>
      <c r="F64" s="24" t="n">
        <v>13219</v>
      </c>
      <c r="G64" s="23" t="inlineStr">
        <is>
          <t>Level 3</t>
        </is>
      </c>
      <c r="H64" s="23" t="inlineStr">
        <is>
          <t>Shawn Harding</t>
        </is>
      </c>
    </row>
    <row r="65">
      <c r="A65" s="23" t="inlineStr">
        <is>
          <t>Celeste Webb / 391 Hillcrest Way</t>
        </is>
      </c>
      <c r="B65" s="23" t="inlineStr">
        <is>
          <t>Northern Utah</t>
        </is>
      </c>
      <c r="C65" s="23" t="inlineStr">
        <is>
          <t>Cade Covington</t>
        </is>
      </c>
      <c r="D65" s="23" t="inlineStr">
        <is>
          <t>Dane Covington</t>
        </is>
      </c>
      <c r="E65" s="35" t="n">
        <v>46269</v>
      </c>
      <c r="F65" s="24" t="n">
        <v>12348</v>
      </c>
      <c r="G65" s="23" t="inlineStr">
        <is>
          <t>Level 3</t>
        </is>
      </c>
      <c r="H65" s="23" t="inlineStr">
        <is>
          <t>Cade Covington</t>
        </is>
      </c>
    </row>
    <row r="66">
      <c r="A66" s="23" t="inlineStr">
        <is>
          <t>Celia &amp; Mike Morse / 237 2nd St NW</t>
        </is>
      </c>
      <c r="B66" s="23" t="inlineStr">
        <is>
          <t>Eastern Idaho</t>
        </is>
      </c>
      <c r="C66" s="23" t="inlineStr">
        <is>
          <t>Zackary Johnston</t>
        </is>
      </c>
      <c r="D66" s="23" t="inlineStr">
        <is>
          <t>Nick Brown</t>
        </is>
      </c>
      <c r="E66" s="35" t="n">
        <v>46293</v>
      </c>
      <c r="F66" s="24" t="n">
        <v>12221</v>
      </c>
      <c r="G66" s="23" t="inlineStr">
        <is>
          <t>Level 3</t>
        </is>
      </c>
      <c r="H66" s="23" t="inlineStr">
        <is>
          <t>Zackary Johnston</t>
        </is>
      </c>
    </row>
    <row r="67">
      <c r="A67" s="23" t="inlineStr">
        <is>
          <t>Kali Dubose / 213 18th Ave NW</t>
        </is>
      </c>
      <c r="B67" s="23" t="inlineStr">
        <is>
          <t>Eastern Idaho</t>
        </is>
      </c>
      <c r="C67" s="23" t="inlineStr">
        <is>
          <t>Zackary Johnston</t>
        </is>
      </c>
      <c r="D67" s="23" t="inlineStr">
        <is>
          <t>Nick Brown</t>
        </is>
      </c>
      <c r="E67" s="35" t="n">
        <v>46290</v>
      </c>
      <c r="F67" s="24" t="n">
        <v>11832</v>
      </c>
      <c r="G67" s="23" t="inlineStr">
        <is>
          <t>Level 3</t>
        </is>
      </c>
      <c r="H67" s="23" t="inlineStr">
        <is>
          <t>Zackary Johnston</t>
        </is>
      </c>
    </row>
    <row r="68">
      <c r="A68" s="23" t="inlineStr">
        <is>
          <t>Travis Groberg / 313 Emerson Ave</t>
        </is>
      </c>
      <c r="B68" s="23" t="inlineStr">
        <is>
          <t>Northern Utah</t>
        </is>
      </c>
      <c r="C68" s="23" t="inlineStr">
        <is>
          <t>Camille Gerritsen</t>
        </is>
      </c>
      <c r="D68" s="23" t="inlineStr">
        <is>
          <t>Dane Covington</t>
        </is>
      </c>
      <c r="E68" s="35" t="n">
        <v>46270</v>
      </c>
      <c r="F68" s="24" t="n">
        <v>11519</v>
      </c>
      <c r="G68" s="23" t="inlineStr">
        <is>
          <t>Level 3</t>
        </is>
      </c>
      <c r="H68" s="23" t="inlineStr">
        <is>
          <t>Camille Gerritsen</t>
        </is>
      </c>
    </row>
    <row r="69">
      <c r="A69" s="23" t="inlineStr">
        <is>
          <t>Karen O'Donnell / 3216 Harness Loop</t>
        </is>
      </c>
      <c r="B69" s="23" t="inlineStr">
        <is>
          <t>Northern Utah</t>
        </is>
      </c>
      <c r="C69" s="23" t="inlineStr">
        <is>
          <t>Shawn Harding</t>
        </is>
      </c>
      <c r="D69" s="23" t="inlineStr">
        <is>
          <t>Todd Hess</t>
        </is>
      </c>
      <c r="E69" s="35" t="n">
        <v>46280</v>
      </c>
      <c r="F69" s="24" t="n">
        <v>11229</v>
      </c>
      <c r="G69" s="23" t="inlineStr">
        <is>
          <t>Level 3</t>
        </is>
      </c>
      <c r="H69" s="23" t="inlineStr">
        <is>
          <t>Shawn Harding</t>
        </is>
      </c>
    </row>
    <row r="70">
      <c r="A70" s="23" t="inlineStr">
        <is>
          <t>Zoe Bushilla / 2514 Heritage Dr</t>
        </is>
      </c>
      <c r="B70" s="23" t="inlineStr">
        <is>
          <t>Northern Utah</t>
        </is>
      </c>
      <c r="C70" s="23" t="inlineStr">
        <is>
          <t>Camille Gerritsen</t>
        </is>
      </c>
      <c r="D70" s="23" t="inlineStr">
        <is>
          <t>Carl Crosland</t>
        </is>
      </c>
      <c r="E70" s="35" t="n">
        <v>46277</v>
      </c>
      <c r="F70" s="24" t="n">
        <v>10988</v>
      </c>
      <c r="G70" s="23" t="inlineStr">
        <is>
          <t>Level 3</t>
        </is>
      </c>
      <c r="H70" s="23" t="inlineStr">
        <is>
          <t>Camille Gerritsen</t>
        </is>
      </c>
    </row>
    <row r="71">
      <c r="A71" s="23" t="inlineStr">
        <is>
          <t>Donald Nicholls / 2505 N 6900 W</t>
        </is>
      </c>
      <c r="B71" s="23" t="inlineStr">
        <is>
          <t>Northern Utah</t>
        </is>
      </c>
      <c r="C71" s="23" t="inlineStr">
        <is>
          <t>Shawn Harding</t>
        </is>
      </c>
      <c r="D71" s="23" t="inlineStr">
        <is>
          <t>Todd Hess</t>
        </is>
      </c>
      <c r="E71" s="35" t="n">
        <v>46295</v>
      </c>
      <c r="F71" s="24" t="n">
        <v>9038</v>
      </c>
      <c r="G71" s="23" t="inlineStr">
        <is>
          <t>Level 3</t>
        </is>
      </c>
      <c r="H71" s="23" t="inlineStr">
        <is>
          <t>Shawn Harding</t>
        </is>
      </c>
    </row>
    <row r="72">
      <c r="A72" s="23" t="inlineStr">
        <is>
          <t>Kathleenn Koford / 15 S Raleigh St</t>
        </is>
      </c>
      <c r="B72" s="23" t="inlineStr">
        <is>
          <t>Northern Utah</t>
        </is>
      </c>
      <c r="C72" s="23" t="inlineStr">
        <is>
          <t>Camille Gerritsen</t>
        </is>
      </c>
      <c r="D72" s="23" t="inlineStr">
        <is>
          <t>Dane Covington</t>
        </is>
      </c>
      <c r="E72" s="35" t="n">
        <v>46283</v>
      </c>
      <c r="F72" s="24" t="n">
        <v>7448</v>
      </c>
      <c r="G72" s="23" t="inlineStr">
        <is>
          <t>Level 3</t>
        </is>
      </c>
      <c r="H72" s="23" t="inlineStr">
        <is>
          <t>Camille Gerritsen</t>
        </is>
      </c>
    </row>
    <row r="73">
      <c r="A73" s="23" t="inlineStr">
        <is>
          <t>Thomas Strong / 4124 E 230 N</t>
        </is>
      </c>
      <c r="B73" s="23" t="inlineStr">
        <is>
          <t>Eastern Idaho</t>
        </is>
      </c>
      <c r="C73" s="23" t="inlineStr">
        <is>
          <t>Alan Fransen</t>
        </is>
      </c>
      <c r="D73" s="23" t="inlineStr">
        <is>
          <t>Alan Fransen</t>
        </is>
      </c>
      <c r="E73" s="35" t="n">
        <v>46289</v>
      </c>
      <c r="F73" s="24" t="n">
        <v>6095</v>
      </c>
      <c r="G73" s="23" t="inlineStr">
        <is>
          <t>Level 3</t>
        </is>
      </c>
      <c r="H73" s="23" t="inlineStr">
        <is>
          <t>Alan Fransen</t>
        </is>
      </c>
    </row>
    <row r="74">
      <c r="A74" s="23" t="inlineStr">
        <is>
          <t>Jennifer Listerud / 3243 Harness Loop</t>
        </is>
      </c>
      <c r="B74" s="23" t="inlineStr">
        <is>
          <t>Northern Utah</t>
        </is>
      </c>
      <c r="C74" s="23" t="inlineStr">
        <is>
          <t>Shawn Harding</t>
        </is>
      </c>
      <c r="D74" s="23" t="inlineStr">
        <is>
          <t>Dane Covington</t>
        </is>
      </c>
      <c r="E74" s="35" t="n">
        <v>46280</v>
      </c>
      <c r="F74" s="24" t="n">
        <v>5920</v>
      </c>
      <c r="G74" s="23" t="inlineStr">
        <is>
          <t>Level 3</t>
        </is>
      </c>
      <c r="H74" s="23" t="inlineStr">
        <is>
          <t>Shawn Harding</t>
        </is>
      </c>
    </row>
    <row r="75">
      <c r="A75" s="26" t="inlineStr">
        <is>
          <t>Lam Vo / 331 Alder St</t>
        </is>
      </c>
      <c r="B75" s="26" t="inlineStr">
        <is>
          <t>Eastern Idaho</t>
        </is>
      </c>
      <c r="C75" s="26" t="inlineStr">
        <is>
          <t>Caleb Fransen</t>
        </is>
      </c>
      <c r="D75" s="26" t="inlineStr">
        <is>
          <t>Kerrigan Simpson</t>
        </is>
      </c>
      <c r="E75" s="36" t="n">
        <v>46270</v>
      </c>
      <c r="F75" s="27" t="n">
        <v>18991</v>
      </c>
      <c r="G75" s="26" t="inlineStr">
        <is>
          <t>Level 4</t>
        </is>
      </c>
      <c r="H75" s="26" t="inlineStr">
        <is>
          <t>Caleb Fransen</t>
        </is>
      </c>
    </row>
    <row r="76">
      <c r="A76" s="26" t="inlineStr">
        <is>
          <t>Joshua Fraley / 3825 Remington St</t>
        </is>
      </c>
      <c r="B76" s="26" t="inlineStr">
        <is>
          <t>Northern Utah</t>
        </is>
      </c>
      <c r="C76" s="26" t="inlineStr">
        <is>
          <t>Isabella Basanta</t>
        </is>
      </c>
      <c r="D76" s="26" t="inlineStr">
        <is>
          <t>Dane Covington</t>
        </is>
      </c>
      <c r="E76" s="36" t="n">
        <v>46284</v>
      </c>
      <c r="F76" s="27" t="n">
        <v>19718</v>
      </c>
      <c r="G76" s="26" t="inlineStr">
        <is>
          <t>Level 5</t>
        </is>
      </c>
      <c r="H76" s="26" t="inlineStr">
        <is>
          <t>Isabella Basanta</t>
        </is>
      </c>
    </row>
    <row r="77">
      <c r="A77" s="26" t="inlineStr">
        <is>
          <t>Terence Meagher / 622 Mill Rd</t>
        </is>
      </c>
      <c r="B77" s="26" t="inlineStr">
        <is>
          <t>Northern Utah</t>
        </is>
      </c>
      <c r="C77" s="26" t="inlineStr">
        <is>
          <t>Isabella Basanta</t>
        </is>
      </c>
      <c r="D77" s="26" t="inlineStr">
        <is>
          <t>Kerrigan Simpson</t>
        </is>
      </c>
      <c r="E77" s="36" t="n">
        <v>46286</v>
      </c>
      <c r="F77" s="27" t="n">
        <v>17811</v>
      </c>
      <c r="G77" s="26" t="inlineStr">
        <is>
          <t>Level 5</t>
        </is>
      </c>
      <c r="H77" s="26" t="inlineStr">
        <is>
          <t>Isabella Basanta</t>
        </is>
      </c>
    </row>
    <row r="78">
      <c r="A78" s="26" t="inlineStr">
        <is>
          <t>Nicholas Hamm / 4432 Red Fox Dr</t>
        </is>
      </c>
      <c r="B78" s="26" t="inlineStr">
        <is>
          <t>Northern Utah</t>
        </is>
      </c>
      <c r="C78" s="26" t="inlineStr">
        <is>
          <t>Isabella Basanta</t>
        </is>
      </c>
      <c r="D78" s="26" t="inlineStr">
        <is>
          <t>Carl Crosland</t>
        </is>
      </c>
      <c r="E78" s="36" t="n">
        <v>46281</v>
      </c>
      <c r="F78" s="27" t="n">
        <v>16938</v>
      </c>
      <c r="G78" s="26" t="inlineStr">
        <is>
          <t>Level 5</t>
        </is>
      </c>
      <c r="H78" s="26" t="inlineStr">
        <is>
          <t>Isabella Basanta</t>
        </is>
      </c>
    </row>
    <row r="79">
      <c r="A79" s="26" t="inlineStr">
        <is>
          <t>Rachel Bond / 4330 Cougar Dr</t>
        </is>
      </c>
      <c r="B79" s="26" t="inlineStr">
        <is>
          <t>Northern Utah</t>
        </is>
      </c>
      <c r="C79" s="26" t="inlineStr">
        <is>
          <t>Isabella Basanta</t>
        </is>
      </c>
      <c r="D79" s="26" t="inlineStr">
        <is>
          <t>Carl Crosland</t>
        </is>
      </c>
      <c r="E79" s="36" t="n">
        <v>46280</v>
      </c>
      <c r="F79" s="27" t="n">
        <v>13026</v>
      </c>
      <c r="G79" s="26" t="inlineStr">
        <is>
          <t>Level 5</t>
        </is>
      </c>
      <c r="H79" s="26" t="inlineStr">
        <is>
          <t>Isabella Basanta</t>
        </is>
      </c>
    </row>
    <row r="80">
      <c r="A80" s="26" t="inlineStr">
        <is>
          <t>Marshall Peterson / 2635 Sundance Dr</t>
        </is>
      </c>
      <c r="B80" s="26" t="inlineStr">
        <is>
          <t>Northern Utah</t>
        </is>
      </c>
      <c r="C80" s="26" t="inlineStr">
        <is>
          <t>Isabella Basanta</t>
        </is>
      </c>
      <c r="D80" s="26" t="inlineStr">
        <is>
          <t>Dane Covington</t>
        </is>
      </c>
      <c r="E80" s="36" t="n">
        <v>46282</v>
      </c>
      <c r="F80" s="27" t="n">
        <v>6121</v>
      </c>
      <c r="G80" s="26" t="inlineStr">
        <is>
          <t>Level 5</t>
        </is>
      </c>
      <c r="H80" s="26" t="inlineStr">
        <is>
          <t>Isabella Basanta</t>
        </is>
      </c>
    </row>
    <row r="81">
      <c r="A81" s="26" t="inlineStr">
        <is>
          <t>Mario Ricardo Torres Laboriel / 636 E 300 N</t>
        </is>
      </c>
      <c r="B81" s="26" t="inlineStr">
        <is>
          <t>Northern Utah</t>
        </is>
      </c>
      <c r="C81" s="26" t="inlineStr">
        <is>
          <t>Isabella Basanta</t>
        </is>
      </c>
      <c r="D81" s="26" t="inlineStr">
        <is>
          <t>Terry Xanthos</t>
        </is>
      </c>
      <c r="E81" s="36" t="n">
        <v>46295</v>
      </c>
      <c r="F81" s="27" t="n">
        <v>3534</v>
      </c>
      <c r="G81" s="26" t="inlineStr">
        <is>
          <t>Level 5</t>
        </is>
      </c>
      <c r="H81" s="26" t="inlineStr">
        <is>
          <t>Isabella Basanta</t>
        </is>
      </c>
    </row>
    <row r="82">
      <c r="A82" s="29" t="inlineStr">
        <is>
          <t>TOTAL</t>
        </is>
      </c>
      <c r="B82" s="7" t="n"/>
      <c r="C82" s="7" t="n"/>
      <c r="D82" s="7" t="n"/>
      <c r="E82" s="7" t="n"/>
      <c r="F82" s="31">
        <f>SUM(F28:F81)</f>
        <v/>
      </c>
      <c r="G82" s="7" t="n"/>
      <c r="H82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14" customWidth="1" min="5" max="5"/>
    <col width="16" customWidth="1" min="6" max="6"/>
    <col width="15" customWidth="1" min="7" max="7"/>
    <col width="20" customWidth="1" min="8" max="8"/>
  </cols>
  <sheetData>
    <row r="1">
      <c r="A1" s="12" t="inlineStr">
        <is>
          <t>Brock Morrison</t>
        </is>
      </c>
    </row>
    <row r="2">
      <c r="A2" s="13" t="inlineStr">
        <is>
          <t>Total downline revenue (September 2026):</t>
        </is>
      </c>
      <c r="B2" s="14">
        <f>F54</f>
        <v/>
      </c>
    </row>
    <row r="4">
      <c r="A4" s="15" t="inlineStr">
        <is>
          <t>Downline Recruit Breakdown</t>
        </is>
      </c>
    </row>
    <row r="5">
      <c r="A5" s="16" t="inlineStr">
        <is>
          <t>Recruit</t>
        </is>
      </c>
      <c r="B5" s="16" t="inlineStr">
        <is>
          <t>Sales Team</t>
        </is>
      </c>
      <c r="C5" s="16" t="inlineStr">
        <is>
          <t>Level</t>
        </is>
      </c>
      <c r="D5" s="16" t="inlineStr">
        <is>
          <t>Recruited By</t>
        </is>
      </c>
      <c r="E5" s="16" t="inlineStr">
        <is>
          <t>Deals</t>
        </is>
      </c>
      <c r="F5" s="16" t="inlineStr">
        <is>
          <t>Revenue</t>
        </is>
      </c>
      <c r="G5" s="16" t="inlineStr">
        <is>
          <t>% of Total</t>
        </is>
      </c>
    </row>
    <row r="6">
      <c r="A6" s="20" t="inlineStr">
        <is>
          <t>Kimberly Simmerman</t>
        </is>
      </c>
      <c r="B6" s="20" t="inlineStr">
        <is>
          <t>Southern Utah</t>
        </is>
      </c>
      <c r="C6" s="20" t="inlineStr">
        <is>
          <t>Level 2</t>
        </is>
      </c>
      <c r="D6" s="20" t="inlineStr">
        <is>
          <t>JJ Gurney</t>
        </is>
      </c>
      <c r="E6" s="20">
        <f>COUNTIF($H$20:$H$53,A6)</f>
        <v/>
      </c>
      <c r="F6" s="21">
        <f>SUMIF($H$20:$H$53,A6,$F$20:$F$53)</f>
        <v/>
      </c>
      <c r="G6" s="22">
        <f>IF($F$54=0,0,F6/$F$54)</f>
        <v/>
      </c>
    </row>
    <row r="7">
      <c r="A7" s="20" t="inlineStr">
        <is>
          <t>Diane Oswald</t>
        </is>
      </c>
      <c r="B7" s="20" t="inlineStr">
        <is>
          <t>Southern Utah</t>
        </is>
      </c>
      <c r="C7" s="20" t="inlineStr">
        <is>
          <t>Level 2</t>
        </is>
      </c>
      <c r="D7" s="20" t="inlineStr">
        <is>
          <t>JJ Gurney</t>
        </is>
      </c>
      <c r="E7" s="20">
        <f>COUNTIF($H$20:$H$53,A7)</f>
        <v/>
      </c>
      <c r="F7" s="21">
        <f>SUMIF($H$20:$H$53,A7,$F$20:$F$53)</f>
        <v/>
      </c>
      <c r="G7" s="22">
        <f>IF($F$54=0,0,F7/$F$54)</f>
        <v/>
      </c>
    </row>
    <row r="8">
      <c r="A8" s="20" t="inlineStr">
        <is>
          <t>Chase Merrell</t>
        </is>
      </c>
      <c r="B8" s="20" t="inlineStr">
        <is>
          <t>Southern Utah</t>
        </is>
      </c>
      <c r="C8" s="20" t="inlineStr">
        <is>
          <t>Level 2</t>
        </is>
      </c>
      <c r="D8" s="20" t="inlineStr">
        <is>
          <t>JJ Gurney</t>
        </is>
      </c>
      <c r="E8" s="20">
        <f>COUNTIF($H$20:$H$53,A8)</f>
        <v/>
      </c>
      <c r="F8" s="21">
        <f>SUMIF($H$20:$H$53,A8,$F$20:$F$53)</f>
        <v/>
      </c>
      <c r="G8" s="22">
        <f>IF($F$54=0,0,F8/$F$54)</f>
        <v/>
      </c>
    </row>
    <row r="9">
      <c r="A9" s="20" t="inlineStr">
        <is>
          <t>Colter Busk</t>
        </is>
      </c>
      <c r="B9" s="20" t="inlineStr">
        <is>
          <t>Southern Utah</t>
        </is>
      </c>
      <c r="C9" s="20" t="inlineStr">
        <is>
          <t>Level 2</t>
        </is>
      </c>
      <c r="D9" s="20" t="inlineStr">
        <is>
          <t>JJ Gurney</t>
        </is>
      </c>
      <c r="E9" s="20">
        <f>COUNTIF($H$20:$H$53,A9)</f>
        <v/>
      </c>
      <c r="F9" s="21">
        <f>SUMIF($H$20:$H$53,A9,$F$20:$F$53)</f>
        <v/>
      </c>
      <c r="G9" s="22">
        <f>IF($F$54=0,0,F9/$F$54)</f>
        <v/>
      </c>
    </row>
    <row r="10">
      <c r="A10" s="20" t="inlineStr">
        <is>
          <t>Zach Lemon</t>
        </is>
      </c>
      <c r="B10" s="20" t="inlineStr">
        <is>
          <t>Eastern Idaho</t>
        </is>
      </c>
      <c r="C10" s="20" t="inlineStr">
        <is>
          <t>Level 2</t>
        </is>
      </c>
      <c r="D10" s="20" t="inlineStr">
        <is>
          <t>Mavryck Holmgren</t>
        </is>
      </c>
      <c r="E10" s="20">
        <f>COUNTIF($H$20:$H$53,A10)</f>
        <v/>
      </c>
      <c r="F10" s="21">
        <f>SUMIF($H$20:$H$53,A10,$F$20:$F$53)</f>
        <v/>
      </c>
      <c r="G10" s="22">
        <f>IF($F$54=0,0,F10/$F$54)</f>
        <v/>
      </c>
    </row>
    <row r="11">
      <c r="A11" s="20" t="inlineStr">
        <is>
          <t>Kerrigan Simpson</t>
        </is>
      </c>
      <c r="B11" s="20" t="inlineStr">
        <is>
          <t>Eastern Idaho</t>
        </is>
      </c>
      <c r="C11" s="20" t="inlineStr">
        <is>
          <t>Level 2</t>
        </is>
      </c>
      <c r="D11" s="20" t="inlineStr">
        <is>
          <t>Mavryck Holmgren</t>
        </is>
      </c>
      <c r="E11" s="20">
        <f>COUNTIF($H$20:$H$53,A11)</f>
        <v/>
      </c>
      <c r="F11" s="21">
        <f>SUMIF($H$20:$H$53,A11,$F$20:$F$53)</f>
        <v/>
      </c>
      <c r="G11" s="22">
        <f>IF($F$54=0,0,F11/$F$54)</f>
        <v/>
      </c>
    </row>
    <row r="12">
      <c r="A12" s="20" t="inlineStr">
        <is>
          <t>Giancarlo Stoffels</t>
        </is>
      </c>
      <c r="B12" s="20" t="inlineStr">
        <is>
          <t>Southern Utah</t>
        </is>
      </c>
      <c r="C12" s="20" t="inlineStr">
        <is>
          <t>Level 2</t>
        </is>
      </c>
      <c r="D12" s="20" t="inlineStr">
        <is>
          <t>Mavryck Holmgren</t>
        </is>
      </c>
      <c r="E12" s="20">
        <f>COUNTIF($H$20:$H$53,A12)</f>
        <v/>
      </c>
      <c r="F12" s="21">
        <f>SUMIF($H$20:$H$53,A12,$F$20:$F$53)</f>
        <v/>
      </c>
      <c r="G12" s="22">
        <f>IF($F$54=0,0,F12/$F$54)</f>
        <v/>
      </c>
    </row>
    <row r="13">
      <c r="A13" s="20" t="inlineStr">
        <is>
          <t>Travis Dykman</t>
        </is>
      </c>
      <c r="B13" s="20" t="inlineStr">
        <is>
          <t>Eastern Idaho</t>
        </is>
      </c>
      <c r="C13" s="20" t="inlineStr">
        <is>
          <t>Level 2</t>
        </is>
      </c>
      <c r="D13" s="20" t="inlineStr">
        <is>
          <t>Mavryck Holmgren</t>
        </is>
      </c>
      <c r="E13" s="20">
        <f>COUNTIF($H$20:$H$53,A13)</f>
        <v/>
      </c>
      <c r="F13" s="21">
        <f>SUMIF($H$20:$H$53,A13,$F$20:$F$53)</f>
        <v/>
      </c>
      <c r="G13" s="22">
        <f>IF($F$54=0,0,F13/$F$54)</f>
        <v/>
      </c>
    </row>
    <row r="14">
      <c r="A14" s="23" t="inlineStr">
        <is>
          <t>Brandon Simpson</t>
        </is>
      </c>
      <c r="B14" s="23" t="inlineStr">
        <is>
          <t>Eastern Idaho</t>
        </is>
      </c>
      <c r="C14" s="23" t="inlineStr">
        <is>
          <t>Level 3</t>
        </is>
      </c>
      <c r="D14" s="23" t="inlineStr">
        <is>
          <t>Colter Busk</t>
        </is>
      </c>
      <c r="E14" s="23">
        <f>COUNTIF($H$20:$H$53,A14)</f>
        <v/>
      </c>
      <c r="F14" s="24">
        <f>SUMIF($H$20:$H$53,A14,$F$20:$F$53)</f>
        <v/>
      </c>
      <c r="G14" s="25">
        <f>IF($F$54=0,0,F14/$F$54)</f>
        <v/>
      </c>
    </row>
    <row r="15">
      <c r="A15" s="23" t="inlineStr">
        <is>
          <t>Lane Coffey</t>
        </is>
      </c>
      <c r="B15" s="23" t="inlineStr">
        <is>
          <t>Eastern Idaho</t>
        </is>
      </c>
      <c r="C15" s="23" t="inlineStr">
        <is>
          <t>Level 3</t>
        </is>
      </c>
      <c r="D15" s="23" t="inlineStr">
        <is>
          <t>Kerrigan Simpson</t>
        </is>
      </c>
      <c r="E15" s="23">
        <f>COUNTIF($H$20:$H$53,A15)</f>
        <v/>
      </c>
      <c r="F15" s="24">
        <f>SUMIF($H$20:$H$53,A15,$F$20:$F$53)</f>
        <v/>
      </c>
      <c r="G15" s="25">
        <f>IF($F$54=0,0,F15/$F$54)</f>
        <v/>
      </c>
    </row>
    <row r="16">
      <c r="A16" s="29" t="inlineStr">
        <is>
          <t>TOTAL</t>
        </is>
      </c>
      <c r="B16" s="7" t="n"/>
      <c r="C16" s="7" t="n"/>
      <c r="D16" s="7" t="n"/>
      <c r="E16" s="30">
        <f>SUM(E6:E15)</f>
        <v/>
      </c>
      <c r="F16" s="31">
        <f>SUM(F6:F15)</f>
        <v/>
      </c>
      <c r="G16" s="32">
        <f>SUM(G6:G15)</f>
        <v/>
      </c>
    </row>
    <row r="18">
      <c r="A18" s="15" t="inlineStr">
        <is>
          <t>Opportunities</t>
        </is>
      </c>
    </row>
    <row r="19">
      <c r="A19" s="16" t="inlineStr">
        <is>
          <t>Opportunity</t>
        </is>
      </c>
      <c r="B19" s="16" t="inlineStr">
        <is>
          <t>Sales Team</t>
        </is>
      </c>
      <c r="C19" s="16" t="inlineStr">
        <is>
          <t>Canvasser</t>
        </is>
      </c>
      <c r="D19" s="16" t="inlineStr">
        <is>
          <t>Closer</t>
        </is>
      </c>
      <c r="E19" s="16" t="inlineStr">
        <is>
          <t>Closing Date</t>
        </is>
      </c>
      <c r="F19" s="16" t="inlineStr">
        <is>
          <t>Contract Value</t>
        </is>
      </c>
      <c r="G19" s="16" t="inlineStr">
        <is>
          <t>Downline</t>
        </is>
      </c>
      <c r="H19" s="16" t="inlineStr">
        <is>
          <t>Credited Via</t>
        </is>
      </c>
    </row>
    <row r="20">
      <c r="A20" s="20" t="inlineStr">
        <is>
          <t>Anna Hewitt / 1301 46th Ave NE</t>
        </is>
      </c>
      <c r="B20" s="20" t="inlineStr">
        <is>
          <t>Eastern Idaho</t>
        </is>
      </c>
      <c r="C20" s="20" t="inlineStr">
        <is>
          <t>Zach Lemon</t>
        </is>
      </c>
      <c r="D20" s="20" t="inlineStr">
        <is>
          <t>Nick Brown</t>
        </is>
      </c>
      <c r="E20" s="34" t="n">
        <v>46291</v>
      </c>
      <c r="F20" s="21" t="n">
        <v>48464</v>
      </c>
      <c r="G20" s="20" t="inlineStr">
        <is>
          <t>Level 2</t>
        </is>
      </c>
      <c r="H20" s="20" t="inlineStr">
        <is>
          <t>Zach Lemon</t>
        </is>
      </c>
    </row>
    <row r="21">
      <c r="A21" s="20" t="inlineStr">
        <is>
          <t>Michael Monday / 192 Quiet Water Ave</t>
        </is>
      </c>
      <c r="B21" s="20" t="inlineStr">
        <is>
          <t>Southern Utah</t>
        </is>
      </c>
      <c r="C21" s="20" t="inlineStr">
        <is>
          <t>Chase Merrell</t>
        </is>
      </c>
      <c r="D21" s="20" t="inlineStr">
        <is>
          <t>Nathan Lewis</t>
        </is>
      </c>
      <c r="E21" s="34" t="n">
        <v>46281</v>
      </c>
      <c r="F21" s="21" t="n">
        <v>38023</v>
      </c>
      <c r="G21" s="20" t="inlineStr">
        <is>
          <t>Level 2</t>
        </is>
      </c>
      <c r="H21" s="20" t="inlineStr">
        <is>
          <t>Chase Merrell</t>
        </is>
      </c>
    </row>
    <row r="22">
      <c r="A22" s="20" t="inlineStr">
        <is>
          <t>Milton Johns / 2436 Haw Creek Blvd</t>
        </is>
      </c>
      <c r="B22" s="20" t="inlineStr">
        <is>
          <t>Eastern Idaho</t>
        </is>
      </c>
      <c r="C22" s="20" t="inlineStr">
        <is>
          <t>Kerrigan Simpson</t>
        </is>
      </c>
      <c r="D22" s="20" t="inlineStr">
        <is>
          <t>Kerrigan Simpson</t>
        </is>
      </c>
      <c r="E22" s="34" t="n">
        <v>46267</v>
      </c>
      <c r="F22" s="21" t="n">
        <v>30009</v>
      </c>
      <c r="G22" s="20" t="inlineStr">
        <is>
          <t>Level 2</t>
        </is>
      </c>
      <c r="H22" s="20" t="inlineStr">
        <is>
          <t>Kerrigan Simpson</t>
        </is>
      </c>
    </row>
    <row r="23">
      <c r="A23" s="20" t="inlineStr">
        <is>
          <t>Lillian Kelsch / 2408 E Meadow Mist Way</t>
        </is>
      </c>
      <c r="B23" s="20" t="inlineStr">
        <is>
          <t>Southern Utah</t>
        </is>
      </c>
      <c r="C23" s="20" t="inlineStr">
        <is>
          <t>Colter Busk</t>
        </is>
      </c>
      <c r="D23" s="20" t="inlineStr">
        <is>
          <t>Jordan Naylor</t>
        </is>
      </c>
      <c r="E23" s="34" t="n">
        <v>46274</v>
      </c>
      <c r="F23" s="21" t="n">
        <v>27248</v>
      </c>
      <c r="G23" s="20" t="inlineStr">
        <is>
          <t>Level 2</t>
        </is>
      </c>
      <c r="H23" s="20" t="inlineStr">
        <is>
          <t>Colter Busk</t>
        </is>
      </c>
    </row>
    <row r="24">
      <c r="A24" s="20" t="inlineStr">
        <is>
          <t>Shawn &amp; Angela Hannah / 551 Tabriz Dr</t>
        </is>
      </c>
      <c r="B24" s="20" t="inlineStr">
        <is>
          <t>Southern Utah</t>
        </is>
      </c>
      <c r="C24" s="20" t="inlineStr">
        <is>
          <t>Diane Oswald</t>
        </is>
      </c>
      <c r="D24" s="20" t="inlineStr">
        <is>
          <t>Jordan Naylor</t>
        </is>
      </c>
      <c r="E24" s="34" t="n">
        <v>46280</v>
      </c>
      <c r="F24" s="21" t="n">
        <v>24813</v>
      </c>
      <c r="G24" s="20" t="inlineStr">
        <is>
          <t>Level 2</t>
        </is>
      </c>
      <c r="H24" s="20" t="inlineStr">
        <is>
          <t>Diane Oswald</t>
        </is>
      </c>
    </row>
    <row r="25">
      <c r="A25" s="20" t="inlineStr">
        <is>
          <t>Roger Gold 2 / 12 N Cove Dr</t>
        </is>
      </c>
      <c r="B25" s="20" t="inlineStr">
        <is>
          <t>Southern Utah</t>
        </is>
      </c>
      <c r="C25" s="20" t="inlineStr">
        <is>
          <t>Kimberly Simmerman</t>
        </is>
      </c>
      <c r="D25" s="20" t="inlineStr">
        <is>
          <t>Jordan Naylor</t>
        </is>
      </c>
      <c r="E25" s="34" t="n">
        <v>46282</v>
      </c>
      <c r="F25" s="21" t="n">
        <v>20338</v>
      </c>
      <c r="G25" s="20" t="inlineStr">
        <is>
          <t>Level 2</t>
        </is>
      </c>
      <c r="H25" s="20" t="inlineStr">
        <is>
          <t>Kimberly Simmerman</t>
        </is>
      </c>
    </row>
    <row r="26">
      <c r="A26" s="20" t="inlineStr">
        <is>
          <t>Carlos &amp; Yanina Becco / 1004 S 860 W</t>
        </is>
      </c>
      <c r="B26" s="20" t="inlineStr">
        <is>
          <t>Southern Utah</t>
        </is>
      </c>
      <c r="C26" s="20" t="inlineStr">
        <is>
          <t>Kimberly Simmerman</t>
        </is>
      </c>
      <c r="D26" s="20" t="inlineStr">
        <is>
          <t>Jordan Naylor</t>
        </is>
      </c>
      <c r="E26" s="34" t="n">
        <v>46282</v>
      </c>
      <c r="F26" s="21" t="n">
        <v>20262</v>
      </c>
      <c r="G26" s="20" t="inlineStr">
        <is>
          <t>Level 2</t>
        </is>
      </c>
      <c r="H26" s="20" t="inlineStr">
        <is>
          <t>Kimberly Simmerman</t>
        </is>
      </c>
    </row>
    <row r="27">
      <c r="A27" s="20" t="inlineStr">
        <is>
          <t>Lisa &amp; John Matz / 4119 June Dr</t>
        </is>
      </c>
      <c r="B27" s="20" t="inlineStr">
        <is>
          <t>Southern Utah</t>
        </is>
      </c>
      <c r="C27" s="20" t="inlineStr">
        <is>
          <t>Diane Oswald</t>
        </is>
      </c>
      <c r="D27" s="20" t="inlineStr">
        <is>
          <t>JJ Gurney</t>
        </is>
      </c>
      <c r="E27" s="34" t="n">
        <v>46279</v>
      </c>
      <c r="F27" s="21" t="n">
        <v>20226</v>
      </c>
      <c r="G27" s="20" t="inlineStr">
        <is>
          <t>Level 2</t>
        </is>
      </c>
      <c r="H27" s="20" t="inlineStr">
        <is>
          <t>Diane Oswald</t>
        </is>
      </c>
    </row>
    <row r="28">
      <c r="A28" s="20" t="inlineStr">
        <is>
          <t>Kim &amp; Lorie Stonehouse / 893 S 860 W</t>
        </is>
      </c>
      <c r="B28" s="20" t="inlineStr">
        <is>
          <t>Southern Utah</t>
        </is>
      </c>
      <c r="C28" s="20" t="inlineStr">
        <is>
          <t>Kimberly Simmerman</t>
        </is>
      </c>
      <c r="D28" s="20" t="inlineStr">
        <is>
          <t>JJ Gurney</t>
        </is>
      </c>
      <c r="E28" s="34" t="n">
        <v>46276</v>
      </c>
      <c r="F28" s="21" t="n">
        <v>19549</v>
      </c>
      <c r="G28" s="20" t="inlineStr">
        <is>
          <t>Level 2</t>
        </is>
      </c>
      <c r="H28" s="20" t="inlineStr">
        <is>
          <t>Kimberly Simmerman</t>
        </is>
      </c>
    </row>
    <row r="29">
      <c r="A29" s="20" t="inlineStr">
        <is>
          <t>Jennifer Gaghen / 430 Wigwam Trl</t>
        </is>
      </c>
      <c r="B29" s="20" t="inlineStr">
        <is>
          <t>Southern Utah</t>
        </is>
      </c>
      <c r="C29" s="20" t="inlineStr">
        <is>
          <t>Chase Merrell</t>
        </is>
      </c>
      <c r="D29" s="20" t="inlineStr">
        <is>
          <t>Nathan Lewis</t>
        </is>
      </c>
      <c r="E29" s="34" t="n">
        <v>46281</v>
      </c>
      <c r="F29" s="21" t="n">
        <v>18593</v>
      </c>
      <c r="G29" s="20" t="inlineStr">
        <is>
          <t>Level 2</t>
        </is>
      </c>
      <c r="H29" s="20" t="inlineStr">
        <is>
          <t>Chase Merrell</t>
        </is>
      </c>
    </row>
    <row r="30">
      <c r="A30" s="20" t="inlineStr">
        <is>
          <t>Brett &amp; Jennie Lefevre / 2817 S 2460 E</t>
        </is>
      </c>
      <c r="B30" s="20" t="inlineStr">
        <is>
          <t>Southern Utah</t>
        </is>
      </c>
      <c r="C30" s="20" t="inlineStr">
        <is>
          <t>Colter Busk</t>
        </is>
      </c>
      <c r="D30" s="20" t="inlineStr">
        <is>
          <t>Nathan Lewis</t>
        </is>
      </c>
      <c r="E30" s="34" t="n">
        <v>46291</v>
      </c>
      <c r="F30" s="21" t="n">
        <v>17811</v>
      </c>
      <c r="G30" s="20" t="inlineStr">
        <is>
          <t>Level 2</t>
        </is>
      </c>
      <c r="H30" s="20" t="inlineStr">
        <is>
          <t>Colter Busk</t>
        </is>
      </c>
    </row>
    <row r="31">
      <c r="A31" s="20" t="inlineStr">
        <is>
          <t>Calvin &amp; Reita Odle / 2107 Elizabeth St</t>
        </is>
      </c>
      <c r="B31" s="20" t="inlineStr">
        <is>
          <t>Southern Utah</t>
        </is>
      </c>
      <c r="C31" s="20" t="inlineStr">
        <is>
          <t>Diane Oswald</t>
        </is>
      </c>
      <c r="D31" s="20" t="inlineStr">
        <is>
          <t>Nathan Lewis</t>
        </is>
      </c>
      <c r="E31" s="34" t="n">
        <v>46287</v>
      </c>
      <c r="F31" s="21" t="n">
        <v>17662</v>
      </c>
      <c r="G31" s="20" t="inlineStr">
        <is>
          <t>Level 2</t>
        </is>
      </c>
      <c r="H31" s="20" t="inlineStr">
        <is>
          <t>Diane Oswald</t>
        </is>
      </c>
    </row>
    <row r="32">
      <c r="A32" s="20" t="inlineStr">
        <is>
          <t>Darrell &amp; Maggie Phillips / 2220 Pintura Dr</t>
        </is>
      </c>
      <c r="B32" s="20" t="inlineStr">
        <is>
          <t>Southern Utah</t>
        </is>
      </c>
      <c r="C32" s="20" t="inlineStr">
        <is>
          <t>Giancarlo Stoffels</t>
        </is>
      </c>
      <c r="D32" s="20" t="inlineStr">
        <is>
          <t>Jordan Naylor</t>
        </is>
      </c>
      <c r="E32" s="34" t="n">
        <v>46274</v>
      </c>
      <c r="F32" s="21" t="n">
        <v>15902</v>
      </c>
      <c r="G32" s="20" t="inlineStr">
        <is>
          <t>Level 2</t>
        </is>
      </c>
      <c r="H32" s="20" t="inlineStr">
        <is>
          <t>Giancarlo Stoffels</t>
        </is>
      </c>
    </row>
    <row r="33">
      <c r="A33" s="20" t="inlineStr">
        <is>
          <t>Dana Boylan / 2740 Ancabide Ln</t>
        </is>
      </c>
      <c r="B33" s="20" t="inlineStr">
        <is>
          <t>Eastern Idaho</t>
        </is>
      </c>
      <c r="C33" s="20" t="inlineStr">
        <is>
          <t>Kerrigan Simpson</t>
        </is>
      </c>
      <c r="D33" s="20" t="inlineStr">
        <is>
          <t>Kerrigan Simpson</t>
        </is>
      </c>
      <c r="E33" s="34" t="n">
        <v>46275</v>
      </c>
      <c r="F33" s="21" t="n">
        <v>15898</v>
      </c>
      <c r="G33" s="20" t="inlineStr">
        <is>
          <t>Level 2</t>
        </is>
      </c>
      <c r="H33" s="20" t="inlineStr">
        <is>
          <t>Kerrigan Simpson</t>
        </is>
      </c>
    </row>
    <row r="34">
      <c r="A34" s="20" t="inlineStr">
        <is>
          <t>Sue and Sky Best / 1876 THREE MARYS PL</t>
        </is>
      </c>
      <c r="B34" s="20" t="inlineStr">
        <is>
          <t>Southern Utah</t>
        </is>
      </c>
      <c r="C34" s="20" t="inlineStr">
        <is>
          <t>Diane Oswald</t>
        </is>
      </c>
      <c r="D34" s="20" t="inlineStr">
        <is>
          <t>Nathan Lewis</t>
        </is>
      </c>
      <c r="E34" s="34" t="n">
        <v>46269</v>
      </c>
      <c r="F34" s="21" t="n">
        <v>13658</v>
      </c>
      <c r="G34" s="20" t="inlineStr">
        <is>
          <t>Level 2</t>
        </is>
      </c>
      <c r="H34" s="20" t="inlineStr">
        <is>
          <t>Diane Oswald</t>
        </is>
      </c>
    </row>
    <row r="35">
      <c r="A35" s="20" t="inlineStr">
        <is>
          <t>Marilyn Grainger / 996 S 860 W</t>
        </is>
      </c>
      <c r="B35" s="20" t="inlineStr">
        <is>
          <t>Southern Utah</t>
        </is>
      </c>
      <c r="C35" s="20" t="inlineStr">
        <is>
          <t>Kimberly Simmerman</t>
        </is>
      </c>
      <c r="D35" s="20" t="inlineStr">
        <is>
          <t>Jordan Naylor</t>
        </is>
      </c>
      <c r="E35" s="34" t="n">
        <v>46282</v>
      </c>
      <c r="F35" s="21" t="n">
        <v>13193</v>
      </c>
      <c r="G35" s="20" t="inlineStr">
        <is>
          <t>Level 2</t>
        </is>
      </c>
      <c r="H35" s="20" t="inlineStr">
        <is>
          <t>Kimberly Simmerman</t>
        </is>
      </c>
    </row>
    <row r="36">
      <c r="A36" s="20" t="inlineStr">
        <is>
          <t>Joy Hepworth / 131 Willard Ave</t>
        </is>
      </c>
      <c r="B36" s="20" t="inlineStr">
        <is>
          <t>Eastern Idaho</t>
        </is>
      </c>
      <c r="C36" s="20" t="inlineStr">
        <is>
          <t>Travis Dykman</t>
        </is>
      </c>
      <c r="D36" s="20" t="inlineStr">
        <is>
          <t>Nick Brown</t>
        </is>
      </c>
      <c r="E36" s="34" t="n">
        <v>46275</v>
      </c>
      <c r="F36" s="21" t="n">
        <v>12935</v>
      </c>
      <c r="G36" s="20" t="inlineStr">
        <is>
          <t>Level 2</t>
        </is>
      </c>
      <c r="H36" s="20" t="inlineStr">
        <is>
          <t>Travis Dykman</t>
        </is>
      </c>
    </row>
    <row r="37">
      <c r="A37" s="20" t="inlineStr">
        <is>
          <t>Donald &amp; Nikki Groshans / 2705 Mast Cir</t>
        </is>
      </c>
      <c r="B37" s="20" t="inlineStr">
        <is>
          <t>Southern Utah</t>
        </is>
      </c>
      <c r="C37" s="20" t="inlineStr">
        <is>
          <t>Colter Busk</t>
        </is>
      </c>
      <c r="D37" s="20" t="inlineStr">
        <is>
          <t>JJ Gurney</t>
        </is>
      </c>
      <c r="E37" s="34" t="n">
        <v>46284</v>
      </c>
      <c r="F37" s="21" t="n">
        <v>12349</v>
      </c>
      <c r="G37" s="20" t="inlineStr">
        <is>
          <t>Level 2</t>
        </is>
      </c>
      <c r="H37" s="20" t="inlineStr">
        <is>
          <t>Colter Busk</t>
        </is>
      </c>
    </row>
    <row r="38">
      <c r="A38" s="20" t="inlineStr">
        <is>
          <t>Mark &amp; Rlene Tucker / 680 S 1100 W</t>
        </is>
      </c>
      <c r="B38" s="20" t="inlineStr">
        <is>
          <t>Southern Utah</t>
        </is>
      </c>
      <c r="C38" s="20" t="inlineStr">
        <is>
          <t>Kimberly Simmerman</t>
        </is>
      </c>
      <c r="D38" s="20" t="inlineStr">
        <is>
          <t>Jordan Naylor</t>
        </is>
      </c>
      <c r="E38" s="34" t="n">
        <v>46287</v>
      </c>
      <c r="F38" s="21" t="n">
        <v>12150</v>
      </c>
      <c r="G38" s="20" t="inlineStr">
        <is>
          <t>Level 2</t>
        </is>
      </c>
      <c r="H38" s="20" t="inlineStr">
        <is>
          <t>Kimberly Simmerman</t>
        </is>
      </c>
    </row>
    <row r="39">
      <c r="A39" s="20" t="inlineStr">
        <is>
          <t>Steven French / 475 Wigwam Trl</t>
        </is>
      </c>
      <c r="B39" s="20" t="inlineStr">
        <is>
          <t>Southern Utah</t>
        </is>
      </c>
      <c r="C39" s="20" t="inlineStr">
        <is>
          <t>Chase Merrell</t>
        </is>
      </c>
      <c r="D39" s="20" t="inlineStr">
        <is>
          <t>JJ Gurney</t>
        </is>
      </c>
      <c r="E39" s="34" t="n">
        <v>46281</v>
      </c>
      <c r="F39" s="21" t="n">
        <v>9937</v>
      </c>
      <c r="G39" s="20" t="inlineStr">
        <is>
          <t>Level 2</t>
        </is>
      </c>
      <c r="H39" s="20" t="inlineStr">
        <is>
          <t>Chase Merrell</t>
        </is>
      </c>
    </row>
    <row r="40">
      <c r="A40" s="20" t="inlineStr">
        <is>
          <t>Linda &amp; Dusty McLeod / 2504 Interlachen Dr</t>
        </is>
      </c>
      <c r="B40" s="20" t="inlineStr">
        <is>
          <t>Southern Utah</t>
        </is>
      </c>
      <c r="C40" s="20" t="inlineStr">
        <is>
          <t>Colter Busk</t>
        </is>
      </c>
      <c r="D40" s="20" t="inlineStr">
        <is>
          <t>Jordan Naylor</t>
        </is>
      </c>
      <c r="E40" s="34" t="n">
        <v>46280</v>
      </c>
      <c r="F40" s="21" t="n">
        <v>5841</v>
      </c>
      <c r="G40" s="20" t="inlineStr">
        <is>
          <t>Level 2</t>
        </is>
      </c>
      <c r="H40" s="20" t="inlineStr">
        <is>
          <t>Colter Busk</t>
        </is>
      </c>
    </row>
    <row r="41">
      <c r="A41" s="23" t="inlineStr">
        <is>
          <t>Mitchell Jesse / 7787 Bear Dr</t>
        </is>
      </c>
      <c r="B41" s="23" t="inlineStr">
        <is>
          <t>Eastern Idaho</t>
        </is>
      </c>
      <c r="C41" s="23" t="inlineStr">
        <is>
          <t>Brandon Simpson</t>
        </is>
      </c>
      <c r="D41" s="23" t="inlineStr">
        <is>
          <t>Nick Brown</t>
        </is>
      </c>
      <c r="E41" s="35" t="n">
        <v>46277</v>
      </c>
      <c r="F41" s="24" t="n">
        <v>19259</v>
      </c>
      <c r="G41" s="23" t="inlineStr">
        <is>
          <t>Level 3</t>
        </is>
      </c>
      <c r="H41" s="23" t="inlineStr">
        <is>
          <t>Brandon Simpson</t>
        </is>
      </c>
    </row>
    <row r="42">
      <c r="A42" s="23" t="inlineStr">
        <is>
          <t>Susette Schabarker / 423 31st St NW</t>
        </is>
      </c>
      <c r="B42" s="23" t="inlineStr">
        <is>
          <t>Eastern Idaho</t>
        </is>
      </c>
      <c r="C42" s="23" t="inlineStr">
        <is>
          <t>Brandon Simpson</t>
        </is>
      </c>
      <c r="D42" s="23" t="inlineStr">
        <is>
          <t>Nick Brown</t>
        </is>
      </c>
      <c r="E42" s="35" t="n">
        <v>46291</v>
      </c>
      <c r="F42" s="24" t="n">
        <v>18938</v>
      </c>
      <c r="G42" s="23" t="inlineStr">
        <is>
          <t>Level 3</t>
        </is>
      </c>
      <c r="H42" s="23" t="inlineStr">
        <is>
          <t>Brandon Simpson</t>
        </is>
      </c>
    </row>
    <row r="43">
      <c r="A43" s="23" t="inlineStr">
        <is>
          <t>Christine Warner / 121 Dallas St</t>
        </is>
      </c>
      <c r="B43" s="23" t="inlineStr">
        <is>
          <t>Eastern Idaho</t>
        </is>
      </c>
      <c r="C43" s="23" t="inlineStr">
        <is>
          <t>Lane Coffey</t>
        </is>
      </c>
      <c r="D43" s="23" t="inlineStr">
        <is>
          <t>Kerrigan Simpson</t>
        </is>
      </c>
      <c r="E43" s="35" t="n">
        <v>46276</v>
      </c>
      <c r="F43" s="24" t="n">
        <v>17633</v>
      </c>
      <c r="G43" s="23" t="inlineStr">
        <is>
          <t>Level 3</t>
        </is>
      </c>
      <c r="H43" s="23" t="inlineStr">
        <is>
          <t>Lane Coffey</t>
        </is>
      </c>
    </row>
    <row r="44">
      <c r="A44" s="23" t="inlineStr">
        <is>
          <t>Joseph Canete / 413 Van Buren Ave</t>
        </is>
      </c>
      <c r="B44" s="23" t="inlineStr">
        <is>
          <t>Eastern Idaho</t>
        </is>
      </c>
      <c r="C44" s="23" t="inlineStr">
        <is>
          <t>Brandon Simpson</t>
        </is>
      </c>
      <c r="D44" s="23" t="inlineStr">
        <is>
          <t>Nick Brown</t>
        </is>
      </c>
      <c r="E44" s="35" t="n">
        <v>46293</v>
      </c>
      <c r="F44" s="24" t="n">
        <v>17404</v>
      </c>
      <c r="G44" s="23" t="inlineStr">
        <is>
          <t>Level 3</t>
        </is>
      </c>
      <c r="H44" s="23" t="inlineStr">
        <is>
          <t>Brandon Simpson</t>
        </is>
      </c>
    </row>
    <row r="45">
      <c r="A45" s="23" t="inlineStr">
        <is>
          <t>Gretchen Murray / 27 Canyon View Dr</t>
        </is>
      </c>
      <c r="B45" s="23" t="inlineStr">
        <is>
          <t>Eastern Idaho</t>
        </is>
      </c>
      <c r="C45" s="23" t="inlineStr">
        <is>
          <t>Brandon Simpson</t>
        </is>
      </c>
      <c r="D45" s="23" t="inlineStr">
        <is>
          <t>Nick Brown</t>
        </is>
      </c>
      <c r="E45" s="35" t="n">
        <v>46275</v>
      </c>
      <c r="F45" s="24" t="n">
        <v>15833</v>
      </c>
      <c r="G45" s="23" t="inlineStr">
        <is>
          <t>Level 3</t>
        </is>
      </c>
      <c r="H45" s="23" t="inlineStr">
        <is>
          <t>Brandon Simpson</t>
        </is>
      </c>
    </row>
    <row r="46">
      <c r="A46" s="23" t="inlineStr">
        <is>
          <t>Melissa Shandley / 298 Washington Blvd</t>
        </is>
      </c>
      <c r="B46" s="23" t="inlineStr">
        <is>
          <t>Eastern Idaho</t>
        </is>
      </c>
      <c r="C46" s="23" t="inlineStr">
        <is>
          <t>Brandon Simpson</t>
        </is>
      </c>
      <c r="D46" s="23" t="inlineStr">
        <is>
          <t>Kerrigan Simpson</t>
        </is>
      </c>
      <c r="E46" s="35" t="n">
        <v>46295</v>
      </c>
      <c r="F46" s="24" t="n">
        <v>15189</v>
      </c>
      <c r="G46" s="23" t="inlineStr">
        <is>
          <t>Level 3</t>
        </is>
      </c>
      <c r="H46" s="23" t="inlineStr">
        <is>
          <t>Brandon Simpson</t>
        </is>
      </c>
    </row>
    <row r="47">
      <c r="A47" s="23" t="inlineStr">
        <is>
          <t>Sandy Brown / 7875 Bear Dr</t>
        </is>
      </c>
      <c r="B47" s="23" t="inlineStr">
        <is>
          <t>Eastern Idaho</t>
        </is>
      </c>
      <c r="C47" s="23" t="inlineStr">
        <is>
          <t>Brandon Simpson</t>
        </is>
      </c>
      <c r="D47" s="23" t="inlineStr">
        <is>
          <t>Kerrigan Simpson</t>
        </is>
      </c>
      <c r="E47" s="35" t="n">
        <v>46277</v>
      </c>
      <c r="F47" s="24" t="n">
        <v>14318</v>
      </c>
      <c r="G47" s="23" t="inlineStr">
        <is>
          <t>Level 3</t>
        </is>
      </c>
      <c r="H47" s="23" t="inlineStr">
        <is>
          <t>Brandon Simpson</t>
        </is>
      </c>
    </row>
    <row r="48">
      <c r="A48" s="23" t="inlineStr">
        <is>
          <t>Choti Skousen / 17 Marthas Ct</t>
        </is>
      </c>
      <c r="B48" s="23" t="inlineStr">
        <is>
          <t>Eastern Idaho</t>
        </is>
      </c>
      <c r="C48" s="23" t="inlineStr">
        <is>
          <t>Brandon Simpson</t>
        </is>
      </c>
      <c r="D48" s="23" t="inlineStr">
        <is>
          <t>Nick Brown</t>
        </is>
      </c>
      <c r="E48" s="35" t="n">
        <v>46273</v>
      </c>
      <c r="F48" s="24" t="n">
        <v>10997</v>
      </c>
      <c r="G48" s="23" t="inlineStr">
        <is>
          <t>Level 3</t>
        </is>
      </c>
      <c r="H48" s="23" t="inlineStr">
        <is>
          <t>Brandon Simpson</t>
        </is>
      </c>
    </row>
    <row r="49">
      <c r="A49" s="23" t="inlineStr">
        <is>
          <t>Mike Debolt / 311 24th St SW</t>
        </is>
      </c>
      <c r="B49" s="23" t="inlineStr">
        <is>
          <t>Eastern Idaho</t>
        </is>
      </c>
      <c r="C49" s="23" t="inlineStr">
        <is>
          <t>Brandon Simpson</t>
        </is>
      </c>
      <c r="D49" s="23" t="inlineStr">
        <is>
          <t>Nick Brown</t>
        </is>
      </c>
      <c r="E49" s="35" t="n">
        <v>46290</v>
      </c>
      <c r="F49" s="24" t="n">
        <v>10008</v>
      </c>
      <c r="G49" s="23" t="inlineStr">
        <is>
          <t>Level 3</t>
        </is>
      </c>
      <c r="H49" s="23" t="inlineStr">
        <is>
          <t>Brandon Simpson</t>
        </is>
      </c>
    </row>
    <row r="50">
      <c r="A50" s="23" t="inlineStr">
        <is>
          <t>Senter Timmons / 175 Bridger Dr</t>
        </is>
      </c>
      <c r="B50" s="23" t="inlineStr">
        <is>
          <t>Eastern Idaho</t>
        </is>
      </c>
      <c r="C50" s="23" t="inlineStr">
        <is>
          <t>Brandon Simpson</t>
        </is>
      </c>
      <c r="D50" s="23" t="inlineStr">
        <is>
          <t>Nick Brown</t>
        </is>
      </c>
      <c r="E50" s="35" t="n">
        <v>46268</v>
      </c>
      <c r="F50" s="24" t="n">
        <v>8940</v>
      </c>
      <c r="G50" s="23" t="inlineStr">
        <is>
          <t>Level 3</t>
        </is>
      </c>
      <c r="H50" s="23" t="inlineStr">
        <is>
          <t>Brandon Simpson</t>
        </is>
      </c>
    </row>
    <row r="51">
      <c r="A51" s="23" t="inlineStr">
        <is>
          <t>Susan Quillen / 4600 Lerch Ln</t>
        </is>
      </c>
      <c r="B51" s="23" t="inlineStr">
        <is>
          <t>Eastern Idaho</t>
        </is>
      </c>
      <c r="C51" s="23" t="inlineStr">
        <is>
          <t>Brandon Simpson</t>
        </is>
      </c>
      <c r="D51" s="23" t="inlineStr">
        <is>
          <t>Nick Brown</t>
        </is>
      </c>
      <c r="E51" s="35" t="n">
        <v>46276</v>
      </c>
      <c r="F51" s="24" t="n">
        <v>8050</v>
      </c>
      <c r="G51" s="23" t="inlineStr">
        <is>
          <t>Level 3</t>
        </is>
      </c>
      <c r="H51" s="23" t="inlineStr">
        <is>
          <t>Brandon Simpson</t>
        </is>
      </c>
    </row>
    <row r="52">
      <c r="A52" s="23" t="inlineStr">
        <is>
          <t>Dennis Vaillancourt / 212 Pine St</t>
        </is>
      </c>
      <c r="B52" s="23" t="inlineStr">
        <is>
          <t>Eastern Idaho</t>
        </is>
      </c>
      <c r="C52" s="23" t="inlineStr">
        <is>
          <t>Lane Coffey</t>
        </is>
      </c>
      <c r="D52" s="23" t="inlineStr">
        <is>
          <t>Kerrigan Simpson</t>
        </is>
      </c>
      <c r="E52" s="35" t="n">
        <v>46277</v>
      </c>
      <c r="F52" s="24" t="n">
        <v>7519</v>
      </c>
      <c r="G52" s="23" t="inlineStr">
        <is>
          <t>Level 3</t>
        </is>
      </c>
      <c r="H52" s="23" t="inlineStr">
        <is>
          <t>Lane Coffey</t>
        </is>
      </c>
    </row>
    <row r="53">
      <c r="A53" s="23" t="inlineStr">
        <is>
          <t>Anita/Rayne Klein / 151 Cove Ln</t>
        </is>
      </c>
      <c r="B53" s="23" t="inlineStr">
        <is>
          <t>Eastern Idaho</t>
        </is>
      </c>
      <c r="C53" s="23" t="inlineStr">
        <is>
          <t>Lane Coffey</t>
        </is>
      </c>
      <c r="D53" s="23" t="inlineStr">
        <is>
          <t>Kerrigan Simpson</t>
        </is>
      </c>
      <c r="E53" s="35" t="n">
        <v>46291</v>
      </c>
      <c r="F53" s="24" t="n">
        <v>6686</v>
      </c>
      <c r="G53" s="23" t="inlineStr">
        <is>
          <t>Level 3</t>
        </is>
      </c>
      <c r="H53" s="23" t="inlineStr">
        <is>
          <t>Lane Coffey</t>
        </is>
      </c>
    </row>
    <row r="54">
      <c r="A54" s="29" t="inlineStr">
        <is>
          <t>TOTAL</t>
        </is>
      </c>
      <c r="B54" s="7" t="n"/>
      <c r="C54" s="7" t="n"/>
      <c r="D54" s="7" t="n"/>
      <c r="E54" s="7" t="n"/>
      <c r="F54" s="31">
        <f>SUM(F20:F53)</f>
        <v/>
      </c>
      <c r="G54" s="7" t="n"/>
      <c r="H54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14" customWidth="1" min="5" max="5"/>
    <col width="16" customWidth="1" min="6" max="6"/>
    <col width="15" customWidth="1" min="7" max="7"/>
    <col width="20" customWidth="1" min="8" max="8"/>
  </cols>
  <sheetData>
    <row r="1">
      <c r="A1" s="12" t="inlineStr">
        <is>
          <t>Carl Crosland</t>
        </is>
      </c>
    </row>
    <row r="2">
      <c r="A2" s="13" t="inlineStr">
        <is>
          <t>Total downline revenue (September 2026):</t>
        </is>
      </c>
      <c r="B2" s="14">
        <f>F59</f>
        <v/>
      </c>
    </row>
    <row r="4">
      <c r="A4" s="15" t="inlineStr">
        <is>
          <t>Downline Recruit Breakdown</t>
        </is>
      </c>
    </row>
    <row r="5">
      <c r="A5" s="16" t="inlineStr">
        <is>
          <t>Recruit</t>
        </is>
      </c>
      <c r="B5" s="16" t="inlineStr">
        <is>
          <t>Sales Team</t>
        </is>
      </c>
      <c r="C5" s="16" t="inlineStr">
        <is>
          <t>Level</t>
        </is>
      </c>
      <c r="D5" s="16" t="inlineStr">
        <is>
          <t>Recruited By</t>
        </is>
      </c>
      <c r="E5" s="16" t="inlineStr">
        <is>
          <t>Deals</t>
        </is>
      </c>
      <c r="F5" s="16" t="inlineStr">
        <is>
          <t>Revenue</t>
        </is>
      </c>
      <c r="G5" s="16" t="inlineStr">
        <is>
          <t>% of Total</t>
        </is>
      </c>
    </row>
    <row r="6">
      <c r="A6" s="37" t="inlineStr">
        <is>
          <t>Carl Crosland</t>
        </is>
      </c>
      <c r="B6" s="37" t="inlineStr">
        <is>
          <t>Northern Utah</t>
        </is>
      </c>
      <c r="C6" s="37" t="inlineStr">
        <is>
          <t>Self</t>
        </is>
      </c>
      <c r="D6" s="37" t="inlineStr"/>
      <c r="E6" s="37">
        <f>COUNTIF($H$21:$H$58,A6)</f>
        <v/>
      </c>
      <c r="F6" s="38">
        <f>SUMIF($H$21:$H$58,A6,$F$21:$F$58)</f>
        <v/>
      </c>
      <c r="G6" s="39">
        <f>IF($F$59=0,0,F6/$F$59)</f>
        <v/>
      </c>
    </row>
    <row r="7">
      <c r="A7" s="17" t="inlineStr">
        <is>
          <t>Nick Brown</t>
        </is>
      </c>
      <c r="B7" s="17" t="inlineStr">
        <is>
          <t>Eastern Idaho</t>
        </is>
      </c>
      <c r="C7" s="17" t="inlineStr">
        <is>
          <t>Level 1</t>
        </is>
      </c>
      <c r="D7" s="17" t="inlineStr">
        <is>
          <t>Carl Crosland</t>
        </is>
      </c>
      <c r="E7" s="17">
        <f>COUNTIF($H$21:$H$58,A7)</f>
        <v/>
      </c>
      <c r="F7" s="18">
        <f>SUMIF($H$21:$H$58,A7,$F$21:$F$58)</f>
        <v/>
      </c>
      <c r="G7" s="19">
        <f>IF($F$59=0,0,F7/$F$59)</f>
        <v/>
      </c>
    </row>
    <row r="8">
      <c r="A8" s="17" t="inlineStr">
        <is>
          <t>Dane Covington</t>
        </is>
      </c>
      <c r="B8" s="17" t="inlineStr">
        <is>
          <t>Northern Utah</t>
        </is>
      </c>
      <c r="C8" s="17" t="inlineStr">
        <is>
          <t>Level 1</t>
        </is>
      </c>
      <c r="D8" s="17" t="inlineStr">
        <is>
          <t>Carl Crosland</t>
        </is>
      </c>
      <c r="E8" s="17">
        <f>COUNTIF($H$21:$H$58,A8)</f>
        <v/>
      </c>
      <c r="F8" s="18">
        <f>SUMIF($H$21:$H$58,A8,$F$21:$F$58)</f>
        <v/>
      </c>
      <c r="G8" s="19">
        <f>IF($F$59=0,0,F8/$F$59)</f>
        <v/>
      </c>
    </row>
    <row r="9">
      <c r="A9" s="17" t="inlineStr">
        <is>
          <t>Todd Hess</t>
        </is>
      </c>
      <c r="B9" s="17" t="inlineStr">
        <is>
          <t>Northern Utah</t>
        </is>
      </c>
      <c r="C9" s="17" t="inlineStr">
        <is>
          <t>Level 1</t>
        </is>
      </c>
      <c r="D9" s="17" t="inlineStr">
        <is>
          <t>Carl Crosland</t>
        </is>
      </c>
      <c r="E9" s="17">
        <f>COUNTIF($H$21:$H$58,A9)</f>
        <v/>
      </c>
      <c r="F9" s="18">
        <f>SUMIF($H$21:$H$58,A9,$F$21:$F$58)</f>
        <v/>
      </c>
      <c r="G9" s="19">
        <f>IF($F$59=0,0,F9/$F$59)</f>
        <v/>
      </c>
    </row>
    <row r="10">
      <c r="A10" s="17" t="inlineStr">
        <is>
          <t>Tanner Crosland</t>
        </is>
      </c>
      <c r="B10" s="17" t="inlineStr">
        <is>
          <t>Northern Utah</t>
        </is>
      </c>
      <c r="C10" s="17" t="inlineStr">
        <is>
          <t>Level 1</t>
        </is>
      </c>
      <c r="D10" s="17" t="inlineStr">
        <is>
          <t>Carl Crosland</t>
        </is>
      </c>
      <c r="E10" s="17">
        <f>COUNTIF($H$21:$H$58,A10)</f>
        <v/>
      </c>
      <c r="F10" s="18">
        <f>SUMIF($H$21:$H$58,A10,$F$21:$F$58)</f>
        <v/>
      </c>
      <c r="G10" s="19">
        <f>IF($F$59=0,0,F10/$F$59)</f>
        <v/>
      </c>
    </row>
    <row r="11">
      <c r="A11" s="20" t="inlineStr">
        <is>
          <t>Shawn Harding</t>
        </is>
      </c>
      <c r="B11" s="20" t="inlineStr">
        <is>
          <t>Northern Utah</t>
        </is>
      </c>
      <c r="C11" s="20" t="inlineStr">
        <is>
          <t>Level 2</t>
        </is>
      </c>
      <c r="D11" s="20" t="inlineStr">
        <is>
          <t>Todd Hess</t>
        </is>
      </c>
      <c r="E11" s="20">
        <f>COUNTIF($H$21:$H$58,A11)</f>
        <v/>
      </c>
      <c r="F11" s="21">
        <f>SUMIF($H$21:$H$58,A11,$F$21:$F$58)</f>
        <v/>
      </c>
      <c r="G11" s="22">
        <f>IF($F$59=0,0,F11/$F$59)</f>
        <v/>
      </c>
    </row>
    <row r="12">
      <c r="A12" s="20" t="inlineStr">
        <is>
          <t>Zackary Johnston</t>
        </is>
      </c>
      <c r="B12" s="20" t="inlineStr">
        <is>
          <t>Eastern Idaho</t>
        </is>
      </c>
      <c r="C12" s="20" t="inlineStr">
        <is>
          <t>Level 2</t>
        </is>
      </c>
      <c r="D12" s="20" t="inlineStr">
        <is>
          <t>Nick Brown</t>
        </is>
      </c>
      <c r="E12" s="20">
        <f>COUNTIF($H$21:$H$58,A12)</f>
        <v/>
      </c>
      <c r="F12" s="21">
        <f>SUMIF($H$21:$H$58,A12,$F$21:$F$58)</f>
        <v/>
      </c>
      <c r="G12" s="22">
        <f>IF($F$59=0,0,F12/$F$59)</f>
        <v/>
      </c>
    </row>
    <row r="13">
      <c r="A13" s="20" t="inlineStr">
        <is>
          <t>Alan Fransen</t>
        </is>
      </c>
      <c r="B13" s="20" t="inlineStr">
        <is>
          <t>Eastern Idaho</t>
        </is>
      </c>
      <c r="C13" s="20" t="inlineStr">
        <is>
          <t>Level 2</t>
        </is>
      </c>
      <c r="D13" s="20" t="inlineStr">
        <is>
          <t>Nick Brown</t>
        </is>
      </c>
      <c r="E13" s="20">
        <f>COUNTIF($H$21:$H$58,A13)</f>
        <v/>
      </c>
      <c r="F13" s="21">
        <f>SUMIF($H$21:$H$58,A13,$F$21:$F$58)</f>
        <v/>
      </c>
      <c r="G13" s="22">
        <f>IF($F$59=0,0,F13/$F$59)</f>
        <v/>
      </c>
    </row>
    <row r="14">
      <c r="A14" s="20" t="inlineStr">
        <is>
          <t>Cade Covington</t>
        </is>
      </c>
      <c r="B14" s="20" t="inlineStr">
        <is>
          <t>Northern Utah</t>
        </is>
      </c>
      <c r="C14" s="20" t="inlineStr">
        <is>
          <t>Level 2</t>
        </is>
      </c>
      <c r="D14" s="20" t="inlineStr">
        <is>
          <t>Dane Covington</t>
        </is>
      </c>
      <c r="E14" s="20">
        <f>COUNTIF($H$21:$H$58,A14)</f>
        <v/>
      </c>
      <c r="F14" s="21">
        <f>SUMIF($H$21:$H$58,A14,$F$21:$F$58)</f>
        <v/>
      </c>
      <c r="G14" s="22">
        <f>IF($F$59=0,0,F14/$F$59)</f>
        <v/>
      </c>
    </row>
    <row r="15">
      <c r="A15" s="23" t="inlineStr">
        <is>
          <t>Caleb Fransen</t>
        </is>
      </c>
      <c r="B15" s="23" t="inlineStr">
        <is>
          <t>Eastern Idaho</t>
        </is>
      </c>
      <c r="C15" s="23" t="inlineStr">
        <is>
          <t>Level 3</t>
        </is>
      </c>
      <c r="D15" s="23" t="inlineStr">
        <is>
          <t>Alan Fransen</t>
        </is>
      </c>
      <c r="E15" s="23">
        <f>COUNTIF($H$21:$H$58,A15)</f>
        <v/>
      </c>
      <c r="F15" s="24">
        <f>SUMIF($H$21:$H$58,A15,$F$21:$F$58)</f>
        <v/>
      </c>
      <c r="G15" s="25">
        <f>IF($F$59=0,0,F15/$F$59)</f>
        <v/>
      </c>
    </row>
    <row r="16">
      <c r="A16" s="26" t="inlineStr">
        <is>
          <t>Isabella Basanta</t>
        </is>
      </c>
      <c r="B16" s="26" t="inlineStr">
        <is>
          <t>Northern Utah</t>
        </is>
      </c>
      <c r="C16" s="26" t="inlineStr">
        <is>
          <t>Level 4</t>
        </is>
      </c>
      <c r="D16" s="26" t="inlineStr">
        <is>
          <t>Mario Torres</t>
        </is>
      </c>
      <c r="E16" s="26">
        <f>COUNTIF($H$21:$H$58,A16)</f>
        <v/>
      </c>
      <c r="F16" s="27">
        <f>SUMIF($H$21:$H$58,A16,$F$21:$F$58)</f>
        <v/>
      </c>
      <c r="G16" s="28">
        <f>IF($F$59=0,0,F16/$F$59)</f>
        <v/>
      </c>
    </row>
    <row r="17">
      <c r="A17" s="29" t="inlineStr">
        <is>
          <t>TOTAL</t>
        </is>
      </c>
      <c r="B17" s="7" t="n"/>
      <c r="C17" s="7" t="n"/>
      <c r="D17" s="7" t="n"/>
      <c r="E17" s="30">
        <f>SUM(E6:E16)</f>
        <v/>
      </c>
      <c r="F17" s="31">
        <f>SUM(F6:F16)</f>
        <v/>
      </c>
      <c r="G17" s="32">
        <f>SUM(G6:G16)</f>
        <v/>
      </c>
    </row>
    <row r="19">
      <c r="A19" s="15" t="inlineStr">
        <is>
          <t>Opportunities</t>
        </is>
      </c>
    </row>
    <row r="20">
      <c r="A20" s="16" t="inlineStr">
        <is>
          <t>Opportunity</t>
        </is>
      </c>
      <c r="B20" s="16" t="inlineStr">
        <is>
          <t>Sales Team</t>
        </is>
      </c>
      <c r="C20" s="16" t="inlineStr">
        <is>
          <t>Canvasser</t>
        </is>
      </c>
      <c r="D20" s="16" t="inlineStr">
        <is>
          <t>Closer</t>
        </is>
      </c>
      <c r="E20" s="16" t="inlineStr">
        <is>
          <t>Closing Date</t>
        </is>
      </c>
      <c r="F20" s="16" t="inlineStr">
        <is>
          <t>Contract Value</t>
        </is>
      </c>
      <c r="G20" s="16" t="inlineStr">
        <is>
          <t>Downline</t>
        </is>
      </c>
      <c r="H20" s="16" t="inlineStr">
        <is>
          <t>Credited Via</t>
        </is>
      </c>
    </row>
    <row r="21">
      <c r="A21" s="37" t="inlineStr">
        <is>
          <t>Laron Crosland / 2217 W Windchime Dr</t>
        </is>
      </c>
      <c r="B21" s="37" t="inlineStr">
        <is>
          <t>Northern Utah</t>
        </is>
      </c>
      <c r="C21" s="37" t="inlineStr">
        <is>
          <t>Carl Crosland</t>
        </is>
      </c>
      <c r="D21" s="37" t="inlineStr">
        <is>
          <t>Carl Crosland</t>
        </is>
      </c>
      <c r="E21" s="40" t="n">
        <v>46284</v>
      </c>
      <c r="F21" s="38" t="n">
        <v>43926</v>
      </c>
      <c r="G21" s="37" t="inlineStr">
        <is>
          <t>Self</t>
        </is>
      </c>
      <c r="H21" s="37" t="inlineStr">
        <is>
          <t>Carl Crosland</t>
        </is>
      </c>
    </row>
    <row r="22">
      <c r="A22" s="37" t="inlineStr">
        <is>
          <t>Mark Earnhardt / 1 Starwood Dr</t>
        </is>
      </c>
      <c r="B22" s="37" t="inlineStr">
        <is>
          <t>Northern Utah</t>
        </is>
      </c>
      <c r="C22" s="37" t="inlineStr">
        <is>
          <t>Carl Crosland</t>
        </is>
      </c>
      <c r="D22" s="37" t="inlineStr">
        <is>
          <t>Carl Crosland</t>
        </is>
      </c>
      <c r="E22" s="40" t="n">
        <v>46279</v>
      </c>
      <c r="F22" s="38" t="n">
        <v>20821</v>
      </c>
      <c r="G22" s="37" t="inlineStr">
        <is>
          <t>Self</t>
        </is>
      </c>
      <c r="H22" s="37" t="inlineStr">
        <is>
          <t>Carl Crosland</t>
        </is>
      </c>
    </row>
    <row r="23">
      <c r="A23" s="37" t="inlineStr">
        <is>
          <t>Bob Oldenburg / 3771 Sparrow Dr</t>
        </is>
      </c>
      <c r="B23" s="37" t="inlineStr">
        <is>
          <t>Northern Utah</t>
        </is>
      </c>
      <c r="C23" s="37" t="inlineStr">
        <is>
          <t>Carl Crosland</t>
        </is>
      </c>
      <c r="D23" s="37" t="inlineStr">
        <is>
          <t>Carl Crosland</t>
        </is>
      </c>
      <c r="E23" s="40" t="n">
        <v>46280</v>
      </c>
      <c r="F23" s="38" t="n">
        <v>12757</v>
      </c>
      <c r="G23" s="37" t="inlineStr">
        <is>
          <t>Self</t>
        </is>
      </c>
      <c r="H23" s="37" t="inlineStr">
        <is>
          <t>Carl Crosland</t>
        </is>
      </c>
    </row>
    <row r="24">
      <c r="A24" s="37" t="inlineStr">
        <is>
          <t>Ronda Hair 2 / 513 W Salem Canal Rd</t>
        </is>
      </c>
      <c r="B24" s="37" t="inlineStr">
        <is>
          <t>Northern Utah</t>
        </is>
      </c>
      <c r="C24" s="37" t="inlineStr">
        <is>
          <t>Carl Crosland</t>
        </is>
      </c>
      <c r="D24" s="37" t="inlineStr">
        <is>
          <t>Carl Crosland</t>
        </is>
      </c>
      <c r="E24" s="40" t="n">
        <v>46267</v>
      </c>
      <c r="F24" s="38" t="n">
        <v>1489</v>
      </c>
      <c r="G24" s="37" t="inlineStr">
        <is>
          <t>Self</t>
        </is>
      </c>
      <c r="H24" s="37" t="inlineStr">
        <is>
          <t>Carl Crosland</t>
        </is>
      </c>
    </row>
    <row r="25">
      <c r="A25" s="17" t="inlineStr">
        <is>
          <t>Brett Breaud / 1 Prospect Way</t>
        </is>
      </c>
      <c r="B25" s="17" t="inlineStr">
        <is>
          <t>Eastern Idaho</t>
        </is>
      </c>
      <c r="C25" s="17" t="inlineStr">
        <is>
          <t>Nick Brown</t>
        </is>
      </c>
      <c r="D25" s="17" t="inlineStr">
        <is>
          <t>Nick Brown</t>
        </is>
      </c>
      <c r="E25" s="33" t="n">
        <v>46291</v>
      </c>
      <c r="F25" s="18" t="n">
        <v>26855</v>
      </c>
      <c r="G25" s="17" t="inlineStr">
        <is>
          <t>Level 1</t>
        </is>
      </c>
      <c r="H25" s="17" t="inlineStr">
        <is>
          <t>Nick Brown</t>
        </is>
      </c>
    </row>
    <row r="26">
      <c r="A26" s="17" t="inlineStr">
        <is>
          <t>Mike Bakke / 1122 Choteau St</t>
        </is>
      </c>
      <c r="B26" s="17" t="inlineStr">
        <is>
          <t>Northern Utah</t>
        </is>
      </c>
      <c r="C26" s="17" t="inlineStr">
        <is>
          <t>Dane Covington</t>
        </is>
      </c>
      <c r="D26" s="17" t="inlineStr">
        <is>
          <t>Dane Covington</t>
        </is>
      </c>
      <c r="E26" s="33" t="n">
        <v>46279</v>
      </c>
      <c r="F26" s="18" t="n">
        <v>25357</v>
      </c>
      <c r="G26" s="17" t="inlineStr">
        <is>
          <t>Level 1</t>
        </is>
      </c>
      <c r="H26" s="17" t="inlineStr">
        <is>
          <t>Dane Covington</t>
        </is>
      </c>
    </row>
    <row r="27">
      <c r="A27" s="17" t="inlineStr">
        <is>
          <t>Kirsten Madsen / 703 8th Ave</t>
        </is>
      </c>
      <c r="B27" s="17" t="inlineStr">
        <is>
          <t>Northern Utah</t>
        </is>
      </c>
      <c r="C27" s="17" t="inlineStr">
        <is>
          <t>Dane Covington</t>
        </is>
      </c>
      <c r="D27" s="17" t="inlineStr">
        <is>
          <t>Dane Covington</t>
        </is>
      </c>
      <c r="E27" s="33" t="n">
        <v>46287</v>
      </c>
      <c r="F27" s="18" t="n">
        <v>22079</v>
      </c>
      <c r="G27" s="17" t="inlineStr">
        <is>
          <t>Level 1</t>
        </is>
      </c>
      <c r="H27" s="17" t="inlineStr">
        <is>
          <t>Dane Covington</t>
        </is>
      </c>
    </row>
    <row r="28">
      <c r="A28" s="17" t="inlineStr">
        <is>
          <t>Carroll Benjamin / 606 E Groschell St</t>
        </is>
      </c>
      <c r="B28" s="17" t="inlineStr">
        <is>
          <t>Northern Utah</t>
        </is>
      </c>
      <c r="C28" s="17" t="inlineStr">
        <is>
          <t>Todd Hess</t>
        </is>
      </c>
      <c r="D28" s="17" t="inlineStr">
        <is>
          <t>Todd Hess</t>
        </is>
      </c>
      <c r="E28" s="33" t="n">
        <v>46270</v>
      </c>
      <c r="F28" s="18" t="n">
        <v>21582</v>
      </c>
      <c r="G28" s="17" t="inlineStr">
        <is>
          <t>Level 1</t>
        </is>
      </c>
      <c r="H28" s="17" t="inlineStr">
        <is>
          <t>Todd Hess</t>
        </is>
      </c>
    </row>
    <row r="29">
      <c r="A29" s="17" t="inlineStr">
        <is>
          <t>Shawna Williams / 2213 Pauline Dr</t>
        </is>
      </c>
      <c r="B29" s="17" t="inlineStr">
        <is>
          <t>Eastern Idaho</t>
        </is>
      </c>
      <c r="C29" s="17" t="inlineStr">
        <is>
          <t>Nick Brown</t>
        </is>
      </c>
      <c r="D29" s="17" t="inlineStr">
        <is>
          <t>Nick Brown</t>
        </is>
      </c>
      <c r="E29" s="33" t="n">
        <v>46274</v>
      </c>
      <c r="F29" s="18" t="n">
        <v>16955</v>
      </c>
      <c r="G29" s="17" t="inlineStr">
        <is>
          <t>Level 1</t>
        </is>
      </c>
      <c r="H29" s="17" t="inlineStr">
        <is>
          <t>Nick Brown</t>
        </is>
      </c>
    </row>
    <row r="30">
      <c r="A30" s="17" t="inlineStr">
        <is>
          <t>Denise Gjerde / 411 W Riggs St</t>
        </is>
      </c>
      <c r="B30" s="17" t="inlineStr">
        <is>
          <t>Northern Utah</t>
        </is>
      </c>
      <c r="C30" s="17" t="inlineStr">
        <is>
          <t>Todd Hess</t>
        </is>
      </c>
      <c r="D30" s="17" t="inlineStr">
        <is>
          <t>Todd Hess</t>
        </is>
      </c>
      <c r="E30" s="33" t="n">
        <v>46271</v>
      </c>
      <c r="F30" s="18" t="n">
        <v>16157</v>
      </c>
      <c r="G30" s="17" t="inlineStr">
        <is>
          <t>Level 1</t>
        </is>
      </c>
      <c r="H30" s="17" t="inlineStr">
        <is>
          <t>Todd Hess</t>
        </is>
      </c>
    </row>
    <row r="31">
      <c r="A31" s="17" t="inlineStr">
        <is>
          <t>Bryant Gauthier / 1827 Hollins Ave</t>
        </is>
      </c>
      <c r="B31" s="17" t="inlineStr">
        <is>
          <t>Northern Utah</t>
        </is>
      </c>
      <c r="C31" s="17" t="inlineStr">
        <is>
          <t>Dane Covington</t>
        </is>
      </c>
      <c r="D31" s="17" t="inlineStr">
        <is>
          <t>Dane Covington</t>
        </is>
      </c>
      <c r="E31" s="33" t="n">
        <v>46284</v>
      </c>
      <c r="F31" s="18" t="n">
        <v>16030</v>
      </c>
      <c r="G31" s="17" t="inlineStr">
        <is>
          <t>Level 1</t>
        </is>
      </c>
      <c r="H31" s="17" t="inlineStr">
        <is>
          <t>Dane Covington</t>
        </is>
      </c>
    </row>
    <row r="32">
      <c r="A32" s="17" t="inlineStr">
        <is>
          <t>Russell Simmons / 100 Sharon Dr</t>
        </is>
      </c>
      <c r="B32" s="17" t="inlineStr">
        <is>
          <t>Eastern Idaho</t>
        </is>
      </c>
      <c r="C32" s="17" t="inlineStr">
        <is>
          <t>Nick Brown</t>
        </is>
      </c>
      <c r="D32" s="17" t="inlineStr">
        <is>
          <t>Nick Brown</t>
        </is>
      </c>
      <c r="E32" s="33" t="n">
        <v>46288</v>
      </c>
      <c r="F32" s="18" t="n">
        <v>15055</v>
      </c>
      <c r="G32" s="17" t="inlineStr">
        <is>
          <t>Level 1</t>
        </is>
      </c>
      <c r="H32" s="17" t="inlineStr">
        <is>
          <t>Nick Brown</t>
        </is>
      </c>
    </row>
    <row r="33">
      <c r="A33" s="17" t="inlineStr">
        <is>
          <t>Robert Peraino / 3255 Humble Rd</t>
        </is>
      </c>
      <c r="B33" s="17" t="inlineStr">
        <is>
          <t>Eastern Idaho</t>
        </is>
      </c>
      <c r="C33" s="17" t="inlineStr">
        <is>
          <t>Nick Brown</t>
        </is>
      </c>
      <c r="D33" s="17" t="inlineStr">
        <is>
          <t>Nick Brown</t>
        </is>
      </c>
      <c r="E33" s="33" t="n">
        <v>46277</v>
      </c>
      <c r="F33" s="18" t="n">
        <v>10098</v>
      </c>
      <c r="G33" s="17" t="inlineStr">
        <is>
          <t>Level 1</t>
        </is>
      </c>
      <c r="H33" s="17" t="inlineStr">
        <is>
          <t>Nick Brown</t>
        </is>
      </c>
    </row>
    <row r="34">
      <c r="A34" s="17" t="inlineStr">
        <is>
          <t>Kasey Morris / 1330 Country Home Ln</t>
        </is>
      </c>
      <c r="B34" s="17" t="inlineStr">
        <is>
          <t>Eastern Idaho</t>
        </is>
      </c>
      <c r="C34" s="17" t="inlineStr">
        <is>
          <t>Nick Brown</t>
        </is>
      </c>
      <c r="D34" s="17" t="inlineStr">
        <is>
          <t>Nick Brown</t>
        </is>
      </c>
      <c r="E34" s="33" t="n">
        <v>46289</v>
      </c>
      <c r="F34" s="18" t="n">
        <v>7603</v>
      </c>
      <c r="G34" s="17" t="inlineStr">
        <is>
          <t>Level 1</t>
        </is>
      </c>
      <c r="H34" s="17" t="inlineStr">
        <is>
          <t>Nick Brown</t>
        </is>
      </c>
    </row>
    <row r="35">
      <c r="A35" s="17" t="inlineStr">
        <is>
          <t>Sandy Kurek 2 / 1100 S 200 W</t>
        </is>
      </c>
      <c r="B35" s="17" t="inlineStr">
        <is>
          <t>Northern Utah</t>
        </is>
      </c>
      <c r="C35" s="17" t="inlineStr">
        <is>
          <t>Dane Covington</t>
        </is>
      </c>
      <c r="D35" s="17" t="inlineStr">
        <is>
          <t>Dane Covington</t>
        </is>
      </c>
      <c r="E35" s="33" t="n">
        <v>46294</v>
      </c>
      <c r="F35" s="18" t="n">
        <v>7159</v>
      </c>
      <c r="G35" s="17" t="inlineStr">
        <is>
          <t>Level 1</t>
        </is>
      </c>
      <c r="H35" s="17" t="inlineStr">
        <is>
          <t>Dane Covington</t>
        </is>
      </c>
    </row>
    <row r="36">
      <c r="A36" s="17" t="inlineStr">
        <is>
          <t>James Burdick / 1902 Wilder Ave</t>
        </is>
      </c>
      <c r="B36" s="17" t="inlineStr">
        <is>
          <t>Northern Utah</t>
        </is>
      </c>
      <c r="C36" s="17" t="inlineStr">
        <is>
          <t>Dane Covington</t>
        </is>
      </c>
      <c r="D36" s="17" t="inlineStr">
        <is>
          <t>Dane Covington</t>
        </is>
      </c>
      <c r="E36" s="33" t="n">
        <v>46278</v>
      </c>
      <c r="F36" s="18" t="n">
        <v>4760</v>
      </c>
      <c r="G36" s="17" t="inlineStr">
        <is>
          <t>Level 1</t>
        </is>
      </c>
      <c r="H36" s="17" t="inlineStr">
        <is>
          <t>Dane Covington</t>
        </is>
      </c>
    </row>
    <row r="37">
      <c r="A37" s="17" t="inlineStr">
        <is>
          <t>Jan Hardman 2 / 2147 S 5900 W</t>
        </is>
      </c>
      <c r="B37" s="17" t="inlineStr">
        <is>
          <t>Northern Utah</t>
        </is>
      </c>
      <c r="C37" s="17" t="inlineStr">
        <is>
          <t>Tanner Crosland</t>
        </is>
      </c>
      <c r="D37" s="17" t="inlineStr">
        <is>
          <t>Todd Hess</t>
        </is>
      </c>
      <c r="E37" s="33" t="n">
        <v>46267</v>
      </c>
      <c r="F37" s="18" t="n">
        <v>2344</v>
      </c>
      <c r="G37" s="17" t="inlineStr">
        <is>
          <t>Level 1</t>
        </is>
      </c>
      <c r="H37" s="17" t="inlineStr">
        <is>
          <t>Tanner Crosland</t>
        </is>
      </c>
    </row>
    <row r="38">
      <c r="A38" s="20" t="inlineStr">
        <is>
          <t>Timothy Broadbrooks / 3472 Ayden Rd</t>
        </is>
      </c>
      <c r="B38" s="20" t="inlineStr">
        <is>
          <t>Northern Utah</t>
        </is>
      </c>
      <c r="C38" s="20" t="inlineStr">
        <is>
          <t>Shawn Harding</t>
        </is>
      </c>
      <c r="D38" s="20" t="inlineStr">
        <is>
          <t>Todd Hess</t>
        </is>
      </c>
      <c r="E38" s="34" t="n">
        <v>46279</v>
      </c>
      <c r="F38" s="21" t="n">
        <v>20247</v>
      </c>
      <c r="G38" s="20" t="inlineStr">
        <is>
          <t>Level 2</t>
        </is>
      </c>
      <c r="H38" s="20" t="inlineStr">
        <is>
          <t>Shawn Harding</t>
        </is>
      </c>
    </row>
    <row r="39">
      <c r="A39" s="20" t="inlineStr">
        <is>
          <t>Manuel Fagundes / 67 Embry Ln</t>
        </is>
      </c>
      <c r="B39" s="20" t="inlineStr">
        <is>
          <t>Eastern Idaho</t>
        </is>
      </c>
      <c r="C39" s="20" t="inlineStr">
        <is>
          <t>Zackary Johnston</t>
        </is>
      </c>
      <c r="D39" s="20" t="inlineStr">
        <is>
          <t>Nick Brown</t>
        </is>
      </c>
      <c r="E39" s="34" t="n">
        <v>46292</v>
      </c>
      <c r="F39" s="21" t="n">
        <v>17474</v>
      </c>
      <c r="G39" s="20" t="inlineStr">
        <is>
          <t>Level 2</t>
        </is>
      </c>
      <c r="H39" s="20" t="inlineStr">
        <is>
          <t>Zackary Johnston</t>
        </is>
      </c>
    </row>
    <row r="40">
      <c r="A40" s="20" t="inlineStr">
        <is>
          <t>Chad Guymon / 3755 Pioneer Park Dr</t>
        </is>
      </c>
      <c r="B40" s="20" t="inlineStr">
        <is>
          <t>Northern Utah</t>
        </is>
      </c>
      <c r="C40" s="20" t="inlineStr">
        <is>
          <t>Shawn Harding</t>
        </is>
      </c>
      <c r="D40" s="20" t="inlineStr">
        <is>
          <t>Todd Hess</t>
        </is>
      </c>
      <c r="E40" s="34" t="n">
        <v>46280</v>
      </c>
      <c r="F40" s="21" t="n">
        <v>16393</v>
      </c>
      <c r="G40" s="20" t="inlineStr">
        <is>
          <t>Level 2</t>
        </is>
      </c>
      <c r="H40" s="20" t="inlineStr">
        <is>
          <t>Shawn Harding</t>
        </is>
      </c>
    </row>
    <row r="41">
      <c r="A41" s="20" t="inlineStr">
        <is>
          <t>Jason Brenna / 703 E Riggs St</t>
        </is>
      </c>
      <c r="B41" s="20" t="inlineStr">
        <is>
          <t>Northern Utah</t>
        </is>
      </c>
      <c r="C41" s="20" t="inlineStr">
        <is>
          <t>Shawn Harding</t>
        </is>
      </c>
      <c r="D41" s="20" t="inlineStr">
        <is>
          <t>Todd Hess</t>
        </is>
      </c>
      <c r="E41" s="34" t="n">
        <v>46282</v>
      </c>
      <c r="F41" s="21" t="n">
        <v>15992</v>
      </c>
      <c r="G41" s="20" t="inlineStr">
        <is>
          <t>Level 2</t>
        </is>
      </c>
      <c r="H41" s="20" t="inlineStr">
        <is>
          <t>Shawn Harding</t>
        </is>
      </c>
    </row>
    <row r="42">
      <c r="A42" s="20" t="inlineStr">
        <is>
          <t>David Poulson / 4443 E 116 N</t>
        </is>
      </c>
      <c r="B42" s="20" t="inlineStr">
        <is>
          <t>Eastern Idaho</t>
        </is>
      </c>
      <c r="C42" s="20" t="inlineStr">
        <is>
          <t>Alan Fransen</t>
        </is>
      </c>
      <c r="D42" s="20" t="inlineStr">
        <is>
          <t>Alan Fransen</t>
        </is>
      </c>
      <c r="E42" s="34" t="n">
        <v>46279</v>
      </c>
      <c r="F42" s="21" t="n">
        <v>13785</v>
      </c>
      <c r="G42" s="20" t="inlineStr">
        <is>
          <t>Level 2</t>
        </is>
      </c>
      <c r="H42" s="20" t="inlineStr">
        <is>
          <t>Alan Fransen</t>
        </is>
      </c>
    </row>
    <row r="43">
      <c r="A43" s="20" t="inlineStr">
        <is>
          <t>Forrest Barnes / 237 N 4300 E</t>
        </is>
      </c>
      <c r="B43" s="20" t="inlineStr">
        <is>
          <t>Eastern Idaho</t>
        </is>
      </c>
      <c r="C43" s="20" t="inlineStr">
        <is>
          <t>Alan Fransen</t>
        </is>
      </c>
      <c r="D43" s="20" t="inlineStr">
        <is>
          <t>Alan Fransen</t>
        </is>
      </c>
      <c r="E43" s="34" t="n">
        <v>46289</v>
      </c>
      <c r="F43" s="21" t="n">
        <v>13441</v>
      </c>
      <c r="G43" s="20" t="inlineStr">
        <is>
          <t>Level 2</t>
        </is>
      </c>
      <c r="H43" s="20" t="inlineStr">
        <is>
          <t>Alan Fransen</t>
        </is>
      </c>
    </row>
    <row r="44">
      <c r="A44" s="20" t="inlineStr">
        <is>
          <t>Kathy Jacobsen / 3220 Rocky Rd</t>
        </is>
      </c>
      <c r="B44" s="20" t="inlineStr">
        <is>
          <t>Northern Utah</t>
        </is>
      </c>
      <c r="C44" s="20" t="inlineStr">
        <is>
          <t>Shawn Harding</t>
        </is>
      </c>
      <c r="D44" s="20" t="inlineStr">
        <is>
          <t>Todd Hess</t>
        </is>
      </c>
      <c r="E44" s="34" t="n">
        <v>46283</v>
      </c>
      <c r="F44" s="21" t="n">
        <v>13219</v>
      </c>
      <c r="G44" s="20" t="inlineStr">
        <is>
          <t>Level 2</t>
        </is>
      </c>
      <c r="H44" s="20" t="inlineStr">
        <is>
          <t>Shawn Harding</t>
        </is>
      </c>
    </row>
    <row r="45">
      <c r="A45" s="20" t="inlineStr">
        <is>
          <t>Celeste Webb / 391 Hillcrest Way</t>
        </is>
      </c>
      <c r="B45" s="20" t="inlineStr">
        <is>
          <t>Northern Utah</t>
        </is>
      </c>
      <c r="C45" s="20" t="inlineStr">
        <is>
          <t>Cade Covington</t>
        </is>
      </c>
      <c r="D45" s="20" t="inlineStr">
        <is>
          <t>Dane Covington</t>
        </is>
      </c>
      <c r="E45" s="34" t="n">
        <v>46269</v>
      </c>
      <c r="F45" s="21" t="n">
        <v>12348</v>
      </c>
      <c r="G45" s="20" t="inlineStr">
        <is>
          <t>Level 2</t>
        </is>
      </c>
      <c r="H45" s="20" t="inlineStr">
        <is>
          <t>Cade Covington</t>
        </is>
      </c>
    </row>
    <row r="46">
      <c r="A46" s="20" t="inlineStr">
        <is>
          <t>Celia &amp; Mike Morse / 237 2nd St NW</t>
        </is>
      </c>
      <c r="B46" s="20" t="inlineStr">
        <is>
          <t>Eastern Idaho</t>
        </is>
      </c>
      <c r="C46" s="20" t="inlineStr">
        <is>
          <t>Zackary Johnston</t>
        </is>
      </c>
      <c r="D46" s="20" t="inlineStr">
        <is>
          <t>Nick Brown</t>
        </is>
      </c>
      <c r="E46" s="34" t="n">
        <v>46293</v>
      </c>
      <c r="F46" s="21" t="n">
        <v>12221</v>
      </c>
      <c r="G46" s="20" t="inlineStr">
        <is>
          <t>Level 2</t>
        </is>
      </c>
      <c r="H46" s="20" t="inlineStr">
        <is>
          <t>Zackary Johnston</t>
        </is>
      </c>
    </row>
    <row r="47">
      <c r="A47" s="20" t="inlineStr">
        <is>
          <t>Kali Dubose / 213 18th Ave NW</t>
        </is>
      </c>
      <c r="B47" s="20" t="inlineStr">
        <is>
          <t>Eastern Idaho</t>
        </is>
      </c>
      <c r="C47" s="20" t="inlineStr">
        <is>
          <t>Zackary Johnston</t>
        </is>
      </c>
      <c r="D47" s="20" t="inlineStr">
        <is>
          <t>Nick Brown</t>
        </is>
      </c>
      <c r="E47" s="34" t="n">
        <v>46290</v>
      </c>
      <c r="F47" s="21" t="n">
        <v>11832</v>
      </c>
      <c r="G47" s="20" t="inlineStr">
        <is>
          <t>Level 2</t>
        </is>
      </c>
      <c r="H47" s="20" t="inlineStr">
        <is>
          <t>Zackary Johnston</t>
        </is>
      </c>
    </row>
    <row r="48">
      <c r="A48" s="20" t="inlineStr">
        <is>
          <t>Karen O'Donnell / 3216 Harness Loop</t>
        </is>
      </c>
      <c r="B48" s="20" t="inlineStr">
        <is>
          <t>Northern Utah</t>
        </is>
      </c>
      <c r="C48" s="20" t="inlineStr">
        <is>
          <t>Shawn Harding</t>
        </is>
      </c>
      <c r="D48" s="20" t="inlineStr">
        <is>
          <t>Todd Hess</t>
        </is>
      </c>
      <c r="E48" s="34" t="n">
        <v>46280</v>
      </c>
      <c r="F48" s="21" t="n">
        <v>11229</v>
      </c>
      <c r="G48" s="20" t="inlineStr">
        <is>
          <t>Level 2</t>
        </is>
      </c>
      <c r="H48" s="20" t="inlineStr">
        <is>
          <t>Shawn Harding</t>
        </is>
      </c>
    </row>
    <row r="49">
      <c r="A49" s="20" t="inlineStr">
        <is>
          <t>Donald Nicholls / 2505 N 6900 W</t>
        </is>
      </c>
      <c r="B49" s="20" t="inlineStr">
        <is>
          <t>Northern Utah</t>
        </is>
      </c>
      <c r="C49" s="20" t="inlineStr">
        <is>
          <t>Shawn Harding</t>
        </is>
      </c>
      <c r="D49" s="20" t="inlineStr">
        <is>
          <t>Todd Hess</t>
        </is>
      </c>
      <c r="E49" s="34" t="n">
        <v>46295</v>
      </c>
      <c r="F49" s="21" t="n">
        <v>9038</v>
      </c>
      <c r="G49" s="20" t="inlineStr">
        <is>
          <t>Level 2</t>
        </is>
      </c>
      <c r="H49" s="20" t="inlineStr">
        <is>
          <t>Shawn Harding</t>
        </is>
      </c>
    </row>
    <row r="50">
      <c r="A50" s="20" t="inlineStr">
        <is>
          <t>Thomas Strong / 4124 E 230 N</t>
        </is>
      </c>
      <c r="B50" s="20" t="inlineStr">
        <is>
          <t>Eastern Idaho</t>
        </is>
      </c>
      <c r="C50" s="20" t="inlineStr">
        <is>
          <t>Alan Fransen</t>
        </is>
      </c>
      <c r="D50" s="20" t="inlineStr">
        <is>
          <t>Alan Fransen</t>
        </is>
      </c>
      <c r="E50" s="34" t="n">
        <v>46289</v>
      </c>
      <c r="F50" s="21" t="n">
        <v>6095</v>
      </c>
      <c r="G50" s="20" t="inlineStr">
        <is>
          <t>Level 2</t>
        </is>
      </c>
      <c r="H50" s="20" t="inlineStr">
        <is>
          <t>Alan Fransen</t>
        </is>
      </c>
    </row>
    <row r="51">
      <c r="A51" s="20" t="inlineStr">
        <is>
          <t>Jennifer Listerud / 3243 Harness Loop</t>
        </is>
      </c>
      <c r="B51" s="20" t="inlineStr">
        <is>
          <t>Northern Utah</t>
        </is>
      </c>
      <c r="C51" s="20" t="inlineStr">
        <is>
          <t>Shawn Harding</t>
        </is>
      </c>
      <c r="D51" s="20" t="inlineStr">
        <is>
          <t>Dane Covington</t>
        </is>
      </c>
      <c r="E51" s="34" t="n">
        <v>46280</v>
      </c>
      <c r="F51" s="21" t="n">
        <v>5920</v>
      </c>
      <c r="G51" s="20" t="inlineStr">
        <is>
          <t>Level 2</t>
        </is>
      </c>
      <c r="H51" s="20" t="inlineStr">
        <is>
          <t>Shawn Harding</t>
        </is>
      </c>
    </row>
    <row r="52">
      <c r="A52" s="23" t="inlineStr">
        <is>
          <t>Lam Vo / 331 Alder St</t>
        </is>
      </c>
      <c r="B52" s="23" t="inlineStr">
        <is>
          <t>Eastern Idaho</t>
        </is>
      </c>
      <c r="C52" s="23" t="inlineStr">
        <is>
          <t>Caleb Fransen</t>
        </is>
      </c>
      <c r="D52" s="23" t="inlineStr">
        <is>
          <t>Kerrigan Simpson</t>
        </is>
      </c>
      <c r="E52" s="35" t="n">
        <v>46270</v>
      </c>
      <c r="F52" s="24" t="n">
        <v>18991</v>
      </c>
      <c r="G52" s="23" t="inlineStr">
        <is>
          <t>Level 3</t>
        </is>
      </c>
      <c r="H52" s="23" t="inlineStr">
        <is>
          <t>Caleb Fransen</t>
        </is>
      </c>
    </row>
    <row r="53">
      <c r="A53" s="26" t="inlineStr">
        <is>
          <t>Joshua Fraley / 3825 Remington St</t>
        </is>
      </c>
      <c r="B53" s="26" t="inlineStr">
        <is>
          <t>Northern Utah</t>
        </is>
      </c>
      <c r="C53" s="26" t="inlineStr">
        <is>
          <t>Isabella Basanta</t>
        </is>
      </c>
      <c r="D53" s="26" t="inlineStr">
        <is>
          <t>Dane Covington</t>
        </is>
      </c>
      <c r="E53" s="36" t="n">
        <v>46284</v>
      </c>
      <c r="F53" s="27" t="n">
        <v>19718</v>
      </c>
      <c r="G53" s="26" t="inlineStr">
        <is>
          <t>Level 4</t>
        </is>
      </c>
      <c r="H53" s="26" t="inlineStr">
        <is>
          <t>Isabella Basanta</t>
        </is>
      </c>
    </row>
    <row r="54">
      <c r="A54" s="26" t="inlineStr">
        <is>
          <t>Terence Meagher / 622 Mill Rd</t>
        </is>
      </c>
      <c r="B54" s="26" t="inlineStr">
        <is>
          <t>Northern Utah</t>
        </is>
      </c>
      <c r="C54" s="26" t="inlineStr">
        <is>
          <t>Isabella Basanta</t>
        </is>
      </c>
      <c r="D54" s="26" t="inlineStr">
        <is>
          <t>Kerrigan Simpson</t>
        </is>
      </c>
      <c r="E54" s="36" t="n">
        <v>46286</v>
      </c>
      <c r="F54" s="27" t="n">
        <v>17811</v>
      </c>
      <c r="G54" s="26" t="inlineStr">
        <is>
          <t>Level 4</t>
        </is>
      </c>
      <c r="H54" s="26" t="inlineStr">
        <is>
          <t>Isabella Basanta</t>
        </is>
      </c>
    </row>
    <row r="55">
      <c r="A55" s="26" t="inlineStr">
        <is>
          <t>Nicholas Hamm / 4432 Red Fox Dr</t>
        </is>
      </c>
      <c r="B55" s="26" t="inlineStr">
        <is>
          <t>Northern Utah</t>
        </is>
      </c>
      <c r="C55" s="26" t="inlineStr">
        <is>
          <t>Isabella Basanta</t>
        </is>
      </c>
      <c r="D55" s="26" t="inlineStr">
        <is>
          <t>Carl Crosland</t>
        </is>
      </c>
      <c r="E55" s="36" t="n">
        <v>46281</v>
      </c>
      <c r="F55" s="27" t="n">
        <v>16938</v>
      </c>
      <c r="G55" s="26" t="inlineStr">
        <is>
          <t>Level 4</t>
        </is>
      </c>
      <c r="H55" s="26" t="inlineStr">
        <is>
          <t>Isabella Basanta</t>
        </is>
      </c>
    </row>
    <row r="56">
      <c r="A56" s="26" t="inlineStr">
        <is>
          <t>Rachel Bond / 4330 Cougar Dr</t>
        </is>
      </c>
      <c r="B56" s="26" t="inlineStr">
        <is>
          <t>Northern Utah</t>
        </is>
      </c>
      <c r="C56" s="26" t="inlineStr">
        <is>
          <t>Isabella Basanta</t>
        </is>
      </c>
      <c r="D56" s="26" t="inlineStr">
        <is>
          <t>Carl Crosland</t>
        </is>
      </c>
      <c r="E56" s="36" t="n">
        <v>46280</v>
      </c>
      <c r="F56" s="27" t="n">
        <v>13026</v>
      </c>
      <c r="G56" s="26" t="inlineStr">
        <is>
          <t>Level 4</t>
        </is>
      </c>
      <c r="H56" s="26" t="inlineStr">
        <is>
          <t>Isabella Basanta</t>
        </is>
      </c>
    </row>
    <row r="57">
      <c r="A57" s="26" t="inlineStr">
        <is>
          <t>Marshall Peterson / 2635 Sundance Dr</t>
        </is>
      </c>
      <c r="B57" s="26" t="inlineStr">
        <is>
          <t>Northern Utah</t>
        </is>
      </c>
      <c r="C57" s="26" t="inlineStr">
        <is>
          <t>Isabella Basanta</t>
        </is>
      </c>
      <c r="D57" s="26" t="inlineStr">
        <is>
          <t>Dane Covington</t>
        </is>
      </c>
      <c r="E57" s="36" t="n">
        <v>46282</v>
      </c>
      <c r="F57" s="27" t="n">
        <v>6121</v>
      </c>
      <c r="G57" s="26" t="inlineStr">
        <is>
          <t>Level 4</t>
        </is>
      </c>
      <c r="H57" s="26" t="inlineStr">
        <is>
          <t>Isabella Basanta</t>
        </is>
      </c>
    </row>
    <row r="58">
      <c r="A58" s="26" t="inlineStr">
        <is>
          <t>Mario Ricardo Torres Laboriel / 636 E 300 N</t>
        </is>
      </c>
      <c r="B58" s="26" t="inlineStr">
        <is>
          <t>Northern Utah</t>
        </is>
      </c>
      <c r="C58" s="26" t="inlineStr">
        <is>
          <t>Isabella Basanta</t>
        </is>
      </c>
      <c r="D58" s="26" t="inlineStr">
        <is>
          <t>Terry Xanthos</t>
        </is>
      </c>
      <c r="E58" s="36" t="n">
        <v>46295</v>
      </c>
      <c r="F58" s="27" t="n">
        <v>3534</v>
      </c>
      <c r="G58" s="26" t="inlineStr">
        <is>
          <t>Level 4</t>
        </is>
      </c>
      <c r="H58" s="26" t="inlineStr">
        <is>
          <t>Isabella Basanta</t>
        </is>
      </c>
    </row>
    <row r="59">
      <c r="A59" s="29" t="inlineStr">
        <is>
          <t>TOTAL</t>
        </is>
      </c>
      <c r="B59" s="7" t="n"/>
      <c r="C59" s="7" t="n"/>
      <c r="D59" s="7" t="n"/>
      <c r="E59" s="7" t="n"/>
      <c r="F59" s="31">
        <f>SUM(F21:F58)</f>
        <v/>
      </c>
      <c r="G59" s="7" t="n"/>
      <c r="H59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14" customWidth="1" min="5" max="5"/>
    <col width="16" customWidth="1" min="6" max="6"/>
    <col width="15" customWidth="1" min="7" max="7"/>
    <col width="20" customWidth="1" min="8" max="8"/>
  </cols>
  <sheetData>
    <row r="1">
      <c r="A1" s="12" t="inlineStr">
        <is>
          <t>JJ Gurney</t>
        </is>
      </c>
    </row>
    <row r="2">
      <c r="A2" s="13" t="inlineStr">
        <is>
          <t>Total downline revenue (September 2026):</t>
        </is>
      </c>
      <c r="B2" s="14">
        <f>F41</f>
        <v/>
      </c>
    </row>
    <row r="4">
      <c r="A4" s="15" t="inlineStr">
        <is>
          <t>Downline Recruit Breakdown</t>
        </is>
      </c>
    </row>
    <row r="5">
      <c r="A5" s="16" t="inlineStr">
        <is>
          <t>Recruit</t>
        </is>
      </c>
      <c r="B5" s="16" t="inlineStr">
        <is>
          <t>Sales Team</t>
        </is>
      </c>
      <c r="C5" s="16" t="inlineStr">
        <is>
          <t>Level</t>
        </is>
      </c>
      <c r="D5" s="16" t="inlineStr">
        <is>
          <t>Recruited By</t>
        </is>
      </c>
      <c r="E5" s="16" t="inlineStr">
        <is>
          <t>Deals</t>
        </is>
      </c>
      <c r="F5" s="16" t="inlineStr">
        <is>
          <t>Revenue</t>
        </is>
      </c>
      <c r="G5" s="16" t="inlineStr">
        <is>
          <t>% of Total</t>
        </is>
      </c>
    </row>
    <row r="6">
      <c r="A6" s="17" t="inlineStr">
        <is>
          <t>Kimberly Simmerman</t>
        </is>
      </c>
      <c r="B6" s="17" t="inlineStr">
        <is>
          <t>Southern Utah</t>
        </is>
      </c>
      <c r="C6" s="17" t="inlineStr">
        <is>
          <t>Level 1</t>
        </is>
      </c>
      <c r="D6" s="17" t="inlineStr">
        <is>
          <t>JJ Gurney</t>
        </is>
      </c>
      <c r="E6" s="17">
        <f>COUNTIF($H$15:$H$40,A6)</f>
        <v/>
      </c>
      <c r="F6" s="18">
        <f>SUMIF($H$15:$H$40,A6,$F$15:$F$40)</f>
        <v/>
      </c>
      <c r="G6" s="19">
        <f>IF($F$41=0,0,F6/$F$41)</f>
        <v/>
      </c>
    </row>
    <row r="7">
      <c r="A7" s="17" t="inlineStr">
        <is>
          <t>Diane Oswald</t>
        </is>
      </c>
      <c r="B7" s="17" t="inlineStr">
        <is>
          <t>Southern Utah</t>
        </is>
      </c>
      <c r="C7" s="17" t="inlineStr">
        <is>
          <t>Level 1</t>
        </is>
      </c>
      <c r="D7" s="17" t="inlineStr">
        <is>
          <t>JJ Gurney</t>
        </is>
      </c>
      <c r="E7" s="17">
        <f>COUNTIF($H$15:$H$40,A7)</f>
        <v/>
      </c>
      <c r="F7" s="18">
        <f>SUMIF($H$15:$H$40,A7,$F$15:$F$40)</f>
        <v/>
      </c>
      <c r="G7" s="19">
        <f>IF($F$41=0,0,F7/$F$41)</f>
        <v/>
      </c>
    </row>
    <row r="8">
      <c r="A8" s="17" t="inlineStr">
        <is>
          <t>Chase Merrell</t>
        </is>
      </c>
      <c r="B8" s="17" t="inlineStr">
        <is>
          <t>Southern Utah</t>
        </is>
      </c>
      <c r="C8" s="17" t="inlineStr">
        <is>
          <t>Level 1</t>
        </is>
      </c>
      <c r="D8" s="17" t="inlineStr">
        <is>
          <t>JJ Gurney</t>
        </is>
      </c>
      <c r="E8" s="17">
        <f>COUNTIF($H$15:$H$40,A8)</f>
        <v/>
      </c>
      <c r="F8" s="18">
        <f>SUMIF($H$15:$H$40,A8,$F$15:$F$40)</f>
        <v/>
      </c>
      <c r="G8" s="19">
        <f>IF($F$41=0,0,F8/$F$41)</f>
        <v/>
      </c>
    </row>
    <row r="9">
      <c r="A9" s="17" t="inlineStr">
        <is>
          <t>Colter Busk</t>
        </is>
      </c>
      <c r="B9" s="17" t="inlineStr">
        <is>
          <t>Southern Utah</t>
        </is>
      </c>
      <c r="C9" s="17" t="inlineStr">
        <is>
          <t>Level 1</t>
        </is>
      </c>
      <c r="D9" s="17" t="inlineStr">
        <is>
          <t>JJ Gurney</t>
        </is>
      </c>
      <c r="E9" s="17">
        <f>COUNTIF($H$15:$H$40,A9)</f>
        <v/>
      </c>
      <c r="F9" s="18">
        <f>SUMIF($H$15:$H$40,A9,$F$15:$F$40)</f>
        <v/>
      </c>
      <c r="G9" s="19">
        <f>IF($F$41=0,0,F9/$F$41)</f>
        <v/>
      </c>
    </row>
    <row r="10">
      <c r="A10" s="20" t="inlineStr">
        <is>
          <t>Brandon Simpson</t>
        </is>
      </c>
      <c r="B10" s="20" t="inlineStr">
        <is>
          <t>Eastern Idaho</t>
        </is>
      </c>
      <c r="C10" s="20" t="inlineStr">
        <is>
          <t>Level 2</t>
        </is>
      </c>
      <c r="D10" s="20" t="inlineStr">
        <is>
          <t>Colter Busk</t>
        </is>
      </c>
      <c r="E10" s="20">
        <f>COUNTIF($H$15:$H$40,A10)</f>
        <v/>
      </c>
      <c r="F10" s="21">
        <f>SUMIF($H$15:$H$40,A10,$F$15:$F$40)</f>
        <v/>
      </c>
      <c r="G10" s="22">
        <f>IF($F$41=0,0,F10/$F$41)</f>
        <v/>
      </c>
    </row>
    <row r="11">
      <c r="A11" s="29" t="inlineStr">
        <is>
          <t>TOTAL</t>
        </is>
      </c>
      <c r="B11" s="7" t="n"/>
      <c r="C11" s="7" t="n"/>
      <c r="D11" s="7" t="n"/>
      <c r="E11" s="30">
        <f>SUM(E6:E10)</f>
        <v/>
      </c>
      <c r="F11" s="31">
        <f>SUM(F6:F10)</f>
        <v/>
      </c>
      <c r="G11" s="32">
        <f>SUM(G6:G10)</f>
        <v/>
      </c>
    </row>
    <row r="13">
      <c r="A13" s="15" t="inlineStr">
        <is>
          <t>Opportunities</t>
        </is>
      </c>
    </row>
    <row r="14">
      <c r="A14" s="16" t="inlineStr">
        <is>
          <t>Opportunity</t>
        </is>
      </c>
      <c r="B14" s="16" t="inlineStr">
        <is>
          <t>Sales Team</t>
        </is>
      </c>
      <c r="C14" s="16" t="inlineStr">
        <is>
          <t>Canvasser</t>
        </is>
      </c>
      <c r="D14" s="16" t="inlineStr">
        <is>
          <t>Closer</t>
        </is>
      </c>
      <c r="E14" s="16" t="inlineStr">
        <is>
          <t>Closing Date</t>
        </is>
      </c>
      <c r="F14" s="16" t="inlineStr">
        <is>
          <t>Contract Value</t>
        </is>
      </c>
      <c r="G14" s="16" t="inlineStr">
        <is>
          <t>Downline</t>
        </is>
      </c>
      <c r="H14" s="16" t="inlineStr">
        <is>
          <t>Credited Via</t>
        </is>
      </c>
    </row>
    <row r="15">
      <c r="A15" s="17" t="inlineStr">
        <is>
          <t>Michael Monday / 192 Quiet Water Ave</t>
        </is>
      </c>
      <c r="B15" s="17" t="inlineStr">
        <is>
          <t>Southern Utah</t>
        </is>
      </c>
      <c r="C15" s="17" t="inlineStr">
        <is>
          <t>Chase Merrell</t>
        </is>
      </c>
      <c r="D15" s="17" t="inlineStr">
        <is>
          <t>Nathan Lewis</t>
        </is>
      </c>
      <c r="E15" s="33" t="n">
        <v>46281</v>
      </c>
      <c r="F15" s="18" t="n">
        <v>38023</v>
      </c>
      <c r="G15" s="17" t="inlineStr">
        <is>
          <t>Level 1</t>
        </is>
      </c>
      <c r="H15" s="17" t="inlineStr">
        <is>
          <t>Chase Merrell</t>
        </is>
      </c>
    </row>
    <row r="16">
      <c r="A16" s="17" t="inlineStr">
        <is>
          <t>Lillian Kelsch / 2408 E Meadow Mist Way</t>
        </is>
      </c>
      <c r="B16" s="17" t="inlineStr">
        <is>
          <t>Southern Utah</t>
        </is>
      </c>
      <c r="C16" s="17" t="inlineStr">
        <is>
          <t>Colter Busk</t>
        </is>
      </c>
      <c r="D16" s="17" t="inlineStr">
        <is>
          <t>Jordan Naylor</t>
        </is>
      </c>
      <c r="E16" s="33" t="n">
        <v>46274</v>
      </c>
      <c r="F16" s="18" t="n">
        <v>27248</v>
      </c>
      <c r="G16" s="17" t="inlineStr">
        <is>
          <t>Level 1</t>
        </is>
      </c>
      <c r="H16" s="17" t="inlineStr">
        <is>
          <t>Colter Busk</t>
        </is>
      </c>
    </row>
    <row r="17">
      <c r="A17" s="17" t="inlineStr">
        <is>
          <t>Shawn &amp; Angela Hannah / 551 Tabriz Dr</t>
        </is>
      </c>
      <c r="B17" s="17" t="inlineStr">
        <is>
          <t>Southern Utah</t>
        </is>
      </c>
      <c r="C17" s="17" t="inlineStr">
        <is>
          <t>Diane Oswald</t>
        </is>
      </c>
      <c r="D17" s="17" t="inlineStr">
        <is>
          <t>Jordan Naylor</t>
        </is>
      </c>
      <c r="E17" s="33" t="n">
        <v>46280</v>
      </c>
      <c r="F17" s="18" t="n">
        <v>24813</v>
      </c>
      <c r="G17" s="17" t="inlineStr">
        <is>
          <t>Level 1</t>
        </is>
      </c>
      <c r="H17" s="17" t="inlineStr">
        <is>
          <t>Diane Oswald</t>
        </is>
      </c>
    </row>
    <row r="18">
      <c r="A18" s="17" t="inlineStr">
        <is>
          <t>Roger Gold 2 / 12 N Cove Dr</t>
        </is>
      </c>
      <c r="B18" s="17" t="inlineStr">
        <is>
          <t>Southern Utah</t>
        </is>
      </c>
      <c r="C18" s="17" t="inlineStr">
        <is>
          <t>Kimberly Simmerman</t>
        </is>
      </c>
      <c r="D18" s="17" t="inlineStr">
        <is>
          <t>Jordan Naylor</t>
        </is>
      </c>
      <c r="E18" s="33" t="n">
        <v>46282</v>
      </c>
      <c r="F18" s="18" t="n">
        <v>20338</v>
      </c>
      <c r="G18" s="17" t="inlineStr">
        <is>
          <t>Level 1</t>
        </is>
      </c>
      <c r="H18" s="17" t="inlineStr">
        <is>
          <t>Kimberly Simmerman</t>
        </is>
      </c>
    </row>
    <row r="19">
      <c r="A19" s="17" t="inlineStr">
        <is>
          <t>Carlos &amp; Yanina Becco / 1004 S 860 W</t>
        </is>
      </c>
      <c r="B19" s="17" t="inlineStr">
        <is>
          <t>Southern Utah</t>
        </is>
      </c>
      <c r="C19" s="17" t="inlineStr">
        <is>
          <t>Kimberly Simmerman</t>
        </is>
      </c>
      <c r="D19" s="17" t="inlineStr">
        <is>
          <t>Jordan Naylor</t>
        </is>
      </c>
      <c r="E19" s="33" t="n">
        <v>46282</v>
      </c>
      <c r="F19" s="18" t="n">
        <v>20262</v>
      </c>
      <c r="G19" s="17" t="inlineStr">
        <is>
          <t>Level 1</t>
        </is>
      </c>
      <c r="H19" s="17" t="inlineStr">
        <is>
          <t>Kimberly Simmerman</t>
        </is>
      </c>
    </row>
    <row r="20">
      <c r="A20" s="17" t="inlineStr">
        <is>
          <t>Lisa &amp; John Matz / 4119 June Dr</t>
        </is>
      </c>
      <c r="B20" s="17" t="inlineStr">
        <is>
          <t>Southern Utah</t>
        </is>
      </c>
      <c r="C20" s="17" t="inlineStr">
        <is>
          <t>Diane Oswald</t>
        </is>
      </c>
      <c r="D20" s="17" t="inlineStr">
        <is>
          <t>JJ Gurney</t>
        </is>
      </c>
      <c r="E20" s="33" t="n">
        <v>46279</v>
      </c>
      <c r="F20" s="18" t="n">
        <v>20226</v>
      </c>
      <c r="G20" s="17" t="inlineStr">
        <is>
          <t>Level 1</t>
        </is>
      </c>
      <c r="H20" s="17" t="inlineStr">
        <is>
          <t>Diane Oswald</t>
        </is>
      </c>
    </row>
    <row r="21">
      <c r="A21" s="17" t="inlineStr">
        <is>
          <t>Kim &amp; Lorie Stonehouse / 893 S 860 W</t>
        </is>
      </c>
      <c r="B21" s="17" t="inlineStr">
        <is>
          <t>Southern Utah</t>
        </is>
      </c>
      <c r="C21" s="17" t="inlineStr">
        <is>
          <t>Kimberly Simmerman</t>
        </is>
      </c>
      <c r="D21" s="17" t="inlineStr">
        <is>
          <t>JJ Gurney</t>
        </is>
      </c>
      <c r="E21" s="33" t="n">
        <v>46276</v>
      </c>
      <c r="F21" s="18" t="n">
        <v>19549</v>
      </c>
      <c r="G21" s="17" t="inlineStr">
        <is>
          <t>Level 1</t>
        </is>
      </c>
      <c r="H21" s="17" t="inlineStr">
        <is>
          <t>Kimberly Simmerman</t>
        </is>
      </c>
    </row>
    <row r="22">
      <c r="A22" s="17" t="inlineStr">
        <is>
          <t>Jennifer Gaghen / 430 Wigwam Trl</t>
        </is>
      </c>
      <c r="B22" s="17" t="inlineStr">
        <is>
          <t>Southern Utah</t>
        </is>
      </c>
      <c r="C22" s="17" t="inlineStr">
        <is>
          <t>Chase Merrell</t>
        </is>
      </c>
      <c r="D22" s="17" t="inlineStr">
        <is>
          <t>Nathan Lewis</t>
        </is>
      </c>
      <c r="E22" s="33" t="n">
        <v>46281</v>
      </c>
      <c r="F22" s="18" t="n">
        <v>18593</v>
      </c>
      <c r="G22" s="17" t="inlineStr">
        <is>
          <t>Level 1</t>
        </is>
      </c>
      <c r="H22" s="17" t="inlineStr">
        <is>
          <t>Chase Merrell</t>
        </is>
      </c>
    </row>
    <row r="23">
      <c r="A23" s="17" t="inlineStr">
        <is>
          <t>Brett &amp; Jennie Lefevre / 2817 S 2460 E</t>
        </is>
      </c>
      <c r="B23" s="17" t="inlineStr">
        <is>
          <t>Southern Utah</t>
        </is>
      </c>
      <c r="C23" s="17" t="inlineStr">
        <is>
          <t>Colter Busk</t>
        </is>
      </c>
      <c r="D23" s="17" t="inlineStr">
        <is>
          <t>Nathan Lewis</t>
        </is>
      </c>
      <c r="E23" s="33" t="n">
        <v>46291</v>
      </c>
      <c r="F23" s="18" t="n">
        <v>17811</v>
      </c>
      <c r="G23" s="17" t="inlineStr">
        <is>
          <t>Level 1</t>
        </is>
      </c>
      <c r="H23" s="17" t="inlineStr">
        <is>
          <t>Colter Busk</t>
        </is>
      </c>
    </row>
    <row r="24">
      <c r="A24" s="17" t="inlineStr">
        <is>
          <t>Calvin &amp; Reita Odle / 2107 Elizabeth St</t>
        </is>
      </c>
      <c r="B24" s="17" t="inlineStr">
        <is>
          <t>Southern Utah</t>
        </is>
      </c>
      <c r="C24" s="17" t="inlineStr">
        <is>
          <t>Diane Oswald</t>
        </is>
      </c>
      <c r="D24" s="17" t="inlineStr">
        <is>
          <t>Nathan Lewis</t>
        </is>
      </c>
      <c r="E24" s="33" t="n">
        <v>46287</v>
      </c>
      <c r="F24" s="18" t="n">
        <v>17662</v>
      </c>
      <c r="G24" s="17" t="inlineStr">
        <is>
          <t>Level 1</t>
        </is>
      </c>
      <c r="H24" s="17" t="inlineStr">
        <is>
          <t>Diane Oswald</t>
        </is>
      </c>
    </row>
    <row r="25">
      <c r="A25" s="17" t="inlineStr">
        <is>
          <t>Sue and Sky Best / 1876 THREE MARYS PL</t>
        </is>
      </c>
      <c r="B25" s="17" t="inlineStr">
        <is>
          <t>Southern Utah</t>
        </is>
      </c>
      <c r="C25" s="17" t="inlineStr">
        <is>
          <t>Diane Oswald</t>
        </is>
      </c>
      <c r="D25" s="17" t="inlineStr">
        <is>
          <t>Nathan Lewis</t>
        </is>
      </c>
      <c r="E25" s="33" t="n">
        <v>46269</v>
      </c>
      <c r="F25" s="18" t="n">
        <v>13658</v>
      </c>
      <c r="G25" s="17" t="inlineStr">
        <is>
          <t>Level 1</t>
        </is>
      </c>
      <c r="H25" s="17" t="inlineStr">
        <is>
          <t>Diane Oswald</t>
        </is>
      </c>
    </row>
    <row r="26">
      <c r="A26" s="17" t="inlineStr">
        <is>
          <t>Marilyn Grainger / 996 S 860 W</t>
        </is>
      </c>
      <c r="B26" s="17" t="inlineStr">
        <is>
          <t>Southern Utah</t>
        </is>
      </c>
      <c r="C26" s="17" t="inlineStr">
        <is>
          <t>Kimberly Simmerman</t>
        </is>
      </c>
      <c r="D26" s="17" t="inlineStr">
        <is>
          <t>Jordan Naylor</t>
        </is>
      </c>
      <c r="E26" s="33" t="n">
        <v>46282</v>
      </c>
      <c r="F26" s="18" t="n">
        <v>13193</v>
      </c>
      <c r="G26" s="17" t="inlineStr">
        <is>
          <t>Level 1</t>
        </is>
      </c>
      <c r="H26" s="17" t="inlineStr">
        <is>
          <t>Kimberly Simmerman</t>
        </is>
      </c>
    </row>
    <row r="27">
      <c r="A27" s="17" t="inlineStr">
        <is>
          <t>Donald &amp; Nikki Groshans / 2705 Mast Cir</t>
        </is>
      </c>
      <c r="B27" s="17" t="inlineStr">
        <is>
          <t>Southern Utah</t>
        </is>
      </c>
      <c r="C27" s="17" t="inlineStr">
        <is>
          <t>Colter Busk</t>
        </is>
      </c>
      <c r="D27" s="17" t="inlineStr">
        <is>
          <t>JJ Gurney</t>
        </is>
      </c>
      <c r="E27" s="33" t="n">
        <v>46284</v>
      </c>
      <c r="F27" s="18" t="n">
        <v>12349</v>
      </c>
      <c r="G27" s="17" t="inlineStr">
        <is>
          <t>Level 1</t>
        </is>
      </c>
      <c r="H27" s="17" t="inlineStr">
        <is>
          <t>Colter Busk</t>
        </is>
      </c>
    </row>
    <row r="28">
      <c r="A28" s="17" t="inlineStr">
        <is>
          <t>Mark &amp; Rlene Tucker / 680 S 1100 W</t>
        </is>
      </c>
      <c r="B28" s="17" t="inlineStr">
        <is>
          <t>Southern Utah</t>
        </is>
      </c>
      <c r="C28" s="17" t="inlineStr">
        <is>
          <t>Kimberly Simmerman</t>
        </is>
      </c>
      <c r="D28" s="17" t="inlineStr">
        <is>
          <t>Jordan Naylor</t>
        </is>
      </c>
      <c r="E28" s="33" t="n">
        <v>46287</v>
      </c>
      <c r="F28" s="18" t="n">
        <v>12150</v>
      </c>
      <c r="G28" s="17" t="inlineStr">
        <is>
          <t>Level 1</t>
        </is>
      </c>
      <c r="H28" s="17" t="inlineStr">
        <is>
          <t>Kimberly Simmerman</t>
        </is>
      </c>
    </row>
    <row r="29">
      <c r="A29" s="17" t="inlineStr">
        <is>
          <t>Steven French / 475 Wigwam Trl</t>
        </is>
      </c>
      <c r="B29" s="17" t="inlineStr">
        <is>
          <t>Southern Utah</t>
        </is>
      </c>
      <c r="C29" s="17" t="inlineStr">
        <is>
          <t>Chase Merrell</t>
        </is>
      </c>
      <c r="D29" s="17" t="inlineStr">
        <is>
          <t>JJ Gurney</t>
        </is>
      </c>
      <c r="E29" s="33" t="n">
        <v>46281</v>
      </c>
      <c r="F29" s="18" t="n">
        <v>9937</v>
      </c>
      <c r="G29" s="17" t="inlineStr">
        <is>
          <t>Level 1</t>
        </is>
      </c>
      <c r="H29" s="17" t="inlineStr">
        <is>
          <t>Chase Merrell</t>
        </is>
      </c>
    </row>
    <row r="30">
      <c r="A30" s="17" t="inlineStr">
        <is>
          <t>Linda &amp; Dusty McLeod / 2504 Interlachen Dr</t>
        </is>
      </c>
      <c r="B30" s="17" t="inlineStr">
        <is>
          <t>Southern Utah</t>
        </is>
      </c>
      <c r="C30" s="17" t="inlineStr">
        <is>
          <t>Colter Busk</t>
        </is>
      </c>
      <c r="D30" s="17" t="inlineStr">
        <is>
          <t>Jordan Naylor</t>
        </is>
      </c>
      <c r="E30" s="33" t="n">
        <v>46280</v>
      </c>
      <c r="F30" s="18" t="n">
        <v>5841</v>
      </c>
      <c r="G30" s="17" t="inlineStr">
        <is>
          <t>Level 1</t>
        </is>
      </c>
      <c r="H30" s="17" t="inlineStr">
        <is>
          <t>Colter Busk</t>
        </is>
      </c>
    </row>
    <row r="31">
      <c r="A31" s="20" t="inlineStr">
        <is>
          <t>Mitchell Jesse / 7787 Bear Dr</t>
        </is>
      </c>
      <c r="B31" s="20" t="inlineStr">
        <is>
          <t>Eastern Idaho</t>
        </is>
      </c>
      <c r="C31" s="20" t="inlineStr">
        <is>
          <t>Brandon Simpson</t>
        </is>
      </c>
      <c r="D31" s="20" t="inlineStr">
        <is>
          <t>Nick Brown</t>
        </is>
      </c>
      <c r="E31" s="34" t="n">
        <v>46277</v>
      </c>
      <c r="F31" s="21" t="n">
        <v>19259</v>
      </c>
      <c r="G31" s="20" t="inlineStr">
        <is>
          <t>Level 2</t>
        </is>
      </c>
      <c r="H31" s="20" t="inlineStr">
        <is>
          <t>Brandon Simpson</t>
        </is>
      </c>
    </row>
    <row r="32">
      <c r="A32" s="20" t="inlineStr">
        <is>
          <t>Susette Schabarker / 423 31st St NW</t>
        </is>
      </c>
      <c r="B32" s="20" t="inlineStr">
        <is>
          <t>Eastern Idaho</t>
        </is>
      </c>
      <c r="C32" s="20" t="inlineStr">
        <is>
          <t>Brandon Simpson</t>
        </is>
      </c>
      <c r="D32" s="20" t="inlineStr">
        <is>
          <t>Nick Brown</t>
        </is>
      </c>
      <c r="E32" s="34" t="n">
        <v>46291</v>
      </c>
      <c r="F32" s="21" t="n">
        <v>18938</v>
      </c>
      <c r="G32" s="20" t="inlineStr">
        <is>
          <t>Level 2</t>
        </is>
      </c>
      <c r="H32" s="20" t="inlineStr">
        <is>
          <t>Brandon Simpson</t>
        </is>
      </c>
    </row>
    <row r="33">
      <c r="A33" s="20" t="inlineStr">
        <is>
          <t>Joseph Canete / 413 Van Buren Ave</t>
        </is>
      </c>
      <c r="B33" s="20" t="inlineStr">
        <is>
          <t>Eastern Idaho</t>
        </is>
      </c>
      <c r="C33" s="20" t="inlineStr">
        <is>
          <t>Brandon Simpson</t>
        </is>
      </c>
      <c r="D33" s="20" t="inlineStr">
        <is>
          <t>Nick Brown</t>
        </is>
      </c>
      <c r="E33" s="34" t="n">
        <v>46293</v>
      </c>
      <c r="F33" s="21" t="n">
        <v>17404</v>
      </c>
      <c r="G33" s="20" t="inlineStr">
        <is>
          <t>Level 2</t>
        </is>
      </c>
      <c r="H33" s="20" t="inlineStr">
        <is>
          <t>Brandon Simpson</t>
        </is>
      </c>
    </row>
    <row r="34">
      <c r="A34" s="20" t="inlineStr">
        <is>
          <t>Gretchen Murray / 27 Canyon View Dr</t>
        </is>
      </c>
      <c r="B34" s="20" t="inlineStr">
        <is>
          <t>Eastern Idaho</t>
        </is>
      </c>
      <c r="C34" s="20" t="inlineStr">
        <is>
          <t>Brandon Simpson</t>
        </is>
      </c>
      <c r="D34" s="20" t="inlineStr">
        <is>
          <t>Nick Brown</t>
        </is>
      </c>
      <c r="E34" s="34" t="n">
        <v>46275</v>
      </c>
      <c r="F34" s="21" t="n">
        <v>15833</v>
      </c>
      <c r="G34" s="20" t="inlineStr">
        <is>
          <t>Level 2</t>
        </is>
      </c>
      <c r="H34" s="20" t="inlineStr">
        <is>
          <t>Brandon Simpson</t>
        </is>
      </c>
    </row>
    <row r="35">
      <c r="A35" s="20" t="inlineStr">
        <is>
          <t>Melissa Shandley / 298 Washington Blvd</t>
        </is>
      </c>
      <c r="B35" s="20" t="inlineStr">
        <is>
          <t>Eastern Idaho</t>
        </is>
      </c>
      <c r="C35" s="20" t="inlineStr">
        <is>
          <t>Brandon Simpson</t>
        </is>
      </c>
      <c r="D35" s="20" t="inlineStr">
        <is>
          <t>Kerrigan Simpson</t>
        </is>
      </c>
      <c r="E35" s="34" t="n">
        <v>46295</v>
      </c>
      <c r="F35" s="21" t="n">
        <v>15189</v>
      </c>
      <c r="G35" s="20" t="inlineStr">
        <is>
          <t>Level 2</t>
        </is>
      </c>
      <c r="H35" s="20" t="inlineStr">
        <is>
          <t>Brandon Simpson</t>
        </is>
      </c>
    </row>
    <row r="36">
      <c r="A36" s="20" t="inlineStr">
        <is>
          <t>Sandy Brown / 7875 Bear Dr</t>
        </is>
      </c>
      <c r="B36" s="20" t="inlineStr">
        <is>
          <t>Eastern Idaho</t>
        </is>
      </c>
      <c r="C36" s="20" t="inlineStr">
        <is>
          <t>Brandon Simpson</t>
        </is>
      </c>
      <c r="D36" s="20" t="inlineStr">
        <is>
          <t>Kerrigan Simpson</t>
        </is>
      </c>
      <c r="E36" s="34" t="n">
        <v>46277</v>
      </c>
      <c r="F36" s="21" t="n">
        <v>14318</v>
      </c>
      <c r="G36" s="20" t="inlineStr">
        <is>
          <t>Level 2</t>
        </is>
      </c>
      <c r="H36" s="20" t="inlineStr">
        <is>
          <t>Brandon Simpson</t>
        </is>
      </c>
    </row>
    <row r="37">
      <c r="A37" s="20" t="inlineStr">
        <is>
          <t>Choti Skousen / 17 Marthas Ct</t>
        </is>
      </c>
      <c r="B37" s="20" t="inlineStr">
        <is>
          <t>Eastern Idaho</t>
        </is>
      </c>
      <c r="C37" s="20" t="inlineStr">
        <is>
          <t>Brandon Simpson</t>
        </is>
      </c>
      <c r="D37" s="20" t="inlineStr">
        <is>
          <t>Nick Brown</t>
        </is>
      </c>
      <c r="E37" s="34" t="n">
        <v>46273</v>
      </c>
      <c r="F37" s="21" t="n">
        <v>10997</v>
      </c>
      <c r="G37" s="20" t="inlineStr">
        <is>
          <t>Level 2</t>
        </is>
      </c>
      <c r="H37" s="20" t="inlineStr">
        <is>
          <t>Brandon Simpson</t>
        </is>
      </c>
    </row>
    <row r="38">
      <c r="A38" s="20" t="inlineStr">
        <is>
          <t>Mike Debolt / 311 24th St SW</t>
        </is>
      </c>
      <c r="B38" s="20" t="inlineStr">
        <is>
          <t>Eastern Idaho</t>
        </is>
      </c>
      <c r="C38" s="20" t="inlineStr">
        <is>
          <t>Brandon Simpson</t>
        </is>
      </c>
      <c r="D38" s="20" t="inlineStr">
        <is>
          <t>Nick Brown</t>
        </is>
      </c>
      <c r="E38" s="34" t="n">
        <v>46290</v>
      </c>
      <c r="F38" s="21" t="n">
        <v>10008</v>
      </c>
      <c r="G38" s="20" t="inlineStr">
        <is>
          <t>Level 2</t>
        </is>
      </c>
      <c r="H38" s="20" t="inlineStr">
        <is>
          <t>Brandon Simpson</t>
        </is>
      </c>
    </row>
    <row r="39">
      <c r="A39" s="20" t="inlineStr">
        <is>
          <t>Senter Timmons / 175 Bridger Dr</t>
        </is>
      </c>
      <c r="B39" s="20" t="inlineStr">
        <is>
          <t>Eastern Idaho</t>
        </is>
      </c>
      <c r="C39" s="20" t="inlineStr">
        <is>
          <t>Brandon Simpson</t>
        </is>
      </c>
      <c r="D39" s="20" t="inlineStr">
        <is>
          <t>Nick Brown</t>
        </is>
      </c>
      <c r="E39" s="34" t="n">
        <v>46268</v>
      </c>
      <c r="F39" s="21" t="n">
        <v>8940</v>
      </c>
      <c r="G39" s="20" t="inlineStr">
        <is>
          <t>Level 2</t>
        </is>
      </c>
      <c r="H39" s="20" t="inlineStr">
        <is>
          <t>Brandon Simpson</t>
        </is>
      </c>
    </row>
    <row r="40">
      <c r="A40" s="20" t="inlineStr">
        <is>
          <t>Susan Quillen / 4600 Lerch Ln</t>
        </is>
      </c>
      <c r="B40" s="20" t="inlineStr">
        <is>
          <t>Eastern Idaho</t>
        </is>
      </c>
      <c r="C40" s="20" t="inlineStr">
        <is>
          <t>Brandon Simpson</t>
        </is>
      </c>
      <c r="D40" s="20" t="inlineStr">
        <is>
          <t>Nick Brown</t>
        </is>
      </c>
      <c r="E40" s="34" t="n">
        <v>46276</v>
      </c>
      <c r="F40" s="21" t="n">
        <v>8050</v>
      </c>
      <c r="G40" s="20" t="inlineStr">
        <is>
          <t>Level 2</t>
        </is>
      </c>
      <c r="H40" s="20" t="inlineStr">
        <is>
          <t>Brandon Simpson</t>
        </is>
      </c>
    </row>
    <row r="41">
      <c r="A41" s="29" t="inlineStr">
        <is>
          <t>TOTAL</t>
        </is>
      </c>
      <c r="B41" s="7" t="n"/>
      <c r="C41" s="7" t="n"/>
      <c r="D41" s="7" t="n"/>
      <c r="E41" s="7" t="n"/>
      <c r="F41" s="31">
        <f>SUM(F15:F40)</f>
        <v/>
      </c>
      <c r="G41" s="7" t="n"/>
      <c r="H41" s="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14" customWidth="1" min="5" max="5"/>
    <col width="16" customWidth="1" min="6" max="6"/>
    <col width="15" customWidth="1" min="7" max="7"/>
    <col width="20" customWidth="1" min="8" max="8"/>
  </cols>
  <sheetData>
    <row r="1">
      <c r="A1" s="12" t="inlineStr">
        <is>
          <t>Colter Busk</t>
        </is>
      </c>
    </row>
    <row r="2">
      <c r="A2" s="13" t="inlineStr">
        <is>
          <t>Total downline revenue (September 2026):</t>
        </is>
      </c>
      <c r="B2" s="14">
        <f>F26</f>
        <v/>
      </c>
    </row>
    <row r="4">
      <c r="A4" s="15" t="inlineStr">
        <is>
          <t>Downline Recruit Breakdown</t>
        </is>
      </c>
    </row>
    <row r="5">
      <c r="A5" s="16" t="inlineStr">
        <is>
          <t>Recruit</t>
        </is>
      </c>
      <c r="B5" s="16" t="inlineStr">
        <is>
          <t>Sales Team</t>
        </is>
      </c>
      <c r="C5" s="16" t="inlineStr">
        <is>
          <t>Level</t>
        </is>
      </c>
      <c r="D5" s="16" t="inlineStr">
        <is>
          <t>Recruited By</t>
        </is>
      </c>
      <c r="E5" s="16" t="inlineStr">
        <is>
          <t>Deals</t>
        </is>
      </c>
      <c r="F5" s="16" t="inlineStr">
        <is>
          <t>Revenue</t>
        </is>
      </c>
      <c r="G5" s="16" t="inlineStr">
        <is>
          <t>% of Total</t>
        </is>
      </c>
    </row>
    <row r="6">
      <c r="A6" s="37" t="inlineStr">
        <is>
          <t>Colter Busk</t>
        </is>
      </c>
      <c r="B6" s="37" t="inlineStr">
        <is>
          <t>Southern Utah</t>
        </is>
      </c>
      <c r="C6" s="37" t="inlineStr">
        <is>
          <t>Self</t>
        </is>
      </c>
      <c r="D6" s="37" t="inlineStr"/>
      <c r="E6" s="37">
        <f>COUNTIF($H$12:$H$25,A6)</f>
        <v/>
      </c>
      <c r="F6" s="38">
        <f>SUMIF($H$12:$H$25,A6,$F$12:$F$25)</f>
        <v/>
      </c>
      <c r="G6" s="39">
        <f>IF($F$26=0,0,F6/$F$26)</f>
        <v/>
      </c>
    </row>
    <row r="7">
      <c r="A7" s="17" t="inlineStr">
        <is>
          <t>Brandon Simpson</t>
        </is>
      </c>
      <c r="B7" s="17" t="inlineStr">
        <is>
          <t>Eastern Idaho</t>
        </is>
      </c>
      <c r="C7" s="17" t="inlineStr">
        <is>
          <t>Level 1</t>
        </is>
      </c>
      <c r="D7" s="17" t="inlineStr">
        <is>
          <t>Colter Busk</t>
        </is>
      </c>
      <c r="E7" s="17">
        <f>COUNTIF($H$12:$H$25,A7)</f>
        <v/>
      </c>
      <c r="F7" s="18">
        <f>SUMIF($H$12:$H$25,A7,$F$12:$F$25)</f>
        <v/>
      </c>
      <c r="G7" s="19">
        <f>IF($F$26=0,0,F7/$F$26)</f>
        <v/>
      </c>
    </row>
    <row r="8">
      <c r="A8" s="29" t="inlineStr">
        <is>
          <t>TOTAL</t>
        </is>
      </c>
      <c r="B8" s="7" t="n"/>
      <c r="C8" s="7" t="n"/>
      <c r="D8" s="7" t="n"/>
      <c r="E8" s="30">
        <f>SUM(E6:E7)</f>
        <v/>
      </c>
      <c r="F8" s="31">
        <f>SUM(F6:F7)</f>
        <v/>
      </c>
      <c r="G8" s="32">
        <f>SUM(G6:G7)</f>
        <v/>
      </c>
    </row>
    <row r="10">
      <c r="A10" s="15" t="inlineStr">
        <is>
          <t>Opportunities</t>
        </is>
      </c>
    </row>
    <row r="11">
      <c r="A11" s="16" t="inlineStr">
        <is>
          <t>Opportunity</t>
        </is>
      </c>
      <c r="B11" s="16" t="inlineStr">
        <is>
          <t>Sales Team</t>
        </is>
      </c>
      <c r="C11" s="16" t="inlineStr">
        <is>
          <t>Canvasser</t>
        </is>
      </c>
      <c r="D11" s="16" t="inlineStr">
        <is>
          <t>Closer</t>
        </is>
      </c>
      <c r="E11" s="16" t="inlineStr">
        <is>
          <t>Closing Date</t>
        </is>
      </c>
      <c r="F11" s="16" t="inlineStr">
        <is>
          <t>Contract Value</t>
        </is>
      </c>
      <c r="G11" s="16" t="inlineStr">
        <is>
          <t>Downline</t>
        </is>
      </c>
      <c r="H11" s="16" t="inlineStr">
        <is>
          <t>Credited Via</t>
        </is>
      </c>
    </row>
    <row r="12">
      <c r="A12" s="37" t="inlineStr">
        <is>
          <t>Lillian Kelsch / 2408 E Meadow Mist Way</t>
        </is>
      </c>
      <c r="B12" s="37" t="inlineStr">
        <is>
          <t>Southern Utah</t>
        </is>
      </c>
      <c r="C12" s="37" t="inlineStr">
        <is>
          <t>Colter Busk</t>
        </is>
      </c>
      <c r="D12" s="37" t="inlineStr">
        <is>
          <t>Jordan Naylor</t>
        </is>
      </c>
      <c r="E12" s="40" t="n">
        <v>46274</v>
      </c>
      <c r="F12" s="38" t="n">
        <v>27248</v>
      </c>
      <c r="G12" s="37" t="inlineStr">
        <is>
          <t>Self</t>
        </is>
      </c>
      <c r="H12" s="37" t="inlineStr">
        <is>
          <t>Colter Busk</t>
        </is>
      </c>
    </row>
    <row r="13">
      <c r="A13" s="37" t="inlineStr">
        <is>
          <t>Brett &amp; Jennie Lefevre / 2817 S 2460 E</t>
        </is>
      </c>
      <c r="B13" s="37" t="inlineStr">
        <is>
          <t>Southern Utah</t>
        </is>
      </c>
      <c r="C13" s="37" t="inlineStr">
        <is>
          <t>Colter Busk</t>
        </is>
      </c>
      <c r="D13" s="37" t="inlineStr">
        <is>
          <t>Nathan Lewis</t>
        </is>
      </c>
      <c r="E13" s="40" t="n">
        <v>46291</v>
      </c>
      <c r="F13" s="38" t="n">
        <v>17811</v>
      </c>
      <c r="G13" s="37" t="inlineStr">
        <is>
          <t>Self</t>
        </is>
      </c>
      <c r="H13" s="37" t="inlineStr">
        <is>
          <t>Colter Busk</t>
        </is>
      </c>
    </row>
    <row r="14">
      <c r="A14" s="37" t="inlineStr">
        <is>
          <t>Donald &amp; Nikki Groshans / 2705 Mast Cir</t>
        </is>
      </c>
      <c r="B14" s="37" t="inlineStr">
        <is>
          <t>Southern Utah</t>
        </is>
      </c>
      <c r="C14" s="37" t="inlineStr">
        <is>
          <t>Colter Busk</t>
        </is>
      </c>
      <c r="D14" s="37" t="inlineStr">
        <is>
          <t>JJ Gurney</t>
        </is>
      </c>
      <c r="E14" s="40" t="n">
        <v>46284</v>
      </c>
      <c r="F14" s="38" t="n">
        <v>12349</v>
      </c>
      <c r="G14" s="37" t="inlineStr">
        <is>
          <t>Self</t>
        </is>
      </c>
      <c r="H14" s="37" t="inlineStr">
        <is>
          <t>Colter Busk</t>
        </is>
      </c>
    </row>
    <row r="15">
      <c r="A15" s="37" t="inlineStr">
        <is>
          <t>Linda &amp; Dusty McLeod / 2504 Interlachen Dr</t>
        </is>
      </c>
      <c r="B15" s="37" t="inlineStr">
        <is>
          <t>Southern Utah</t>
        </is>
      </c>
      <c r="C15" s="37" t="inlineStr">
        <is>
          <t>Colter Busk</t>
        </is>
      </c>
      <c r="D15" s="37" t="inlineStr">
        <is>
          <t>Jordan Naylor</t>
        </is>
      </c>
      <c r="E15" s="40" t="n">
        <v>46280</v>
      </c>
      <c r="F15" s="38" t="n">
        <v>5841</v>
      </c>
      <c r="G15" s="37" t="inlineStr">
        <is>
          <t>Self</t>
        </is>
      </c>
      <c r="H15" s="37" t="inlineStr">
        <is>
          <t>Colter Busk</t>
        </is>
      </c>
    </row>
    <row r="16">
      <c r="A16" s="17" t="inlineStr">
        <is>
          <t>Mitchell Jesse / 7787 Bear Dr</t>
        </is>
      </c>
      <c r="B16" s="17" t="inlineStr">
        <is>
          <t>Eastern Idaho</t>
        </is>
      </c>
      <c r="C16" s="17" t="inlineStr">
        <is>
          <t>Brandon Simpson</t>
        </is>
      </c>
      <c r="D16" s="17" t="inlineStr">
        <is>
          <t>Nick Brown</t>
        </is>
      </c>
      <c r="E16" s="33" t="n">
        <v>46277</v>
      </c>
      <c r="F16" s="18" t="n">
        <v>19259</v>
      </c>
      <c r="G16" s="17" t="inlineStr">
        <is>
          <t>Level 1</t>
        </is>
      </c>
      <c r="H16" s="17" t="inlineStr">
        <is>
          <t>Brandon Simpson</t>
        </is>
      </c>
    </row>
    <row r="17">
      <c r="A17" s="17" t="inlineStr">
        <is>
          <t>Susette Schabarker / 423 31st St NW</t>
        </is>
      </c>
      <c r="B17" s="17" t="inlineStr">
        <is>
          <t>Eastern Idaho</t>
        </is>
      </c>
      <c r="C17" s="17" t="inlineStr">
        <is>
          <t>Brandon Simpson</t>
        </is>
      </c>
      <c r="D17" s="17" t="inlineStr">
        <is>
          <t>Nick Brown</t>
        </is>
      </c>
      <c r="E17" s="33" t="n">
        <v>46291</v>
      </c>
      <c r="F17" s="18" t="n">
        <v>18938</v>
      </c>
      <c r="G17" s="17" t="inlineStr">
        <is>
          <t>Level 1</t>
        </is>
      </c>
      <c r="H17" s="17" t="inlineStr">
        <is>
          <t>Brandon Simpson</t>
        </is>
      </c>
    </row>
    <row r="18">
      <c r="A18" s="17" t="inlineStr">
        <is>
          <t>Joseph Canete / 413 Van Buren Ave</t>
        </is>
      </c>
      <c r="B18" s="17" t="inlineStr">
        <is>
          <t>Eastern Idaho</t>
        </is>
      </c>
      <c r="C18" s="17" t="inlineStr">
        <is>
          <t>Brandon Simpson</t>
        </is>
      </c>
      <c r="D18" s="17" t="inlineStr">
        <is>
          <t>Nick Brown</t>
        </is>
      </c>
      <c r="E18" s="33" t="n">
        <v>46293</v>
      </c>
      <c r="F18" s="18" t="n">
        <v>17404</v>
      </c>
      <c r="G18" s="17" t="inlineStr">
        <is>
          <t>Level 1</t>
        </is>
      </c>
      <c r="H18" s="17" t="inlineStr">
        <is>
          <t>Brandon Simpson</t>
        </is>
      </c>
    </row>
    <row r="19">
      <c r="A19" s="17" t="inlineStr">
        <is>
          <t>Gretchen Murray / 27 Canyon View Dr</t>
        </is>
      </c>
      <c r="B19" s="17" t="inlineStr">
        <is>
          <t>Eastern Idaho</t>
        </is>
      </c>
      <c r="C19" s="17" t="inlineStr">
        <is>
          <t>Brandon Simpson</t>
        </is>
      </c>
      <c r="D19" s="17" t="inlineStr">
        <is>
          <t>Nick Brown</t>
        </is>
      </c>
      <c r="E19" s="33" t="n">
        <v>46275</v>
      </c>
      <c r="F19" s="18" t="n">
        <v>15833</v>
      </c>
      <c r="G19" s="17" t="inlineStr">
        <is>
          <t>Level 1</t>
        </is>
      </c>
      <c r="H19" s="17" t="inlineStr">
        <is>
          <t>Brandon Simpson</t>
        </is>
      </c>
    </row>
    <row r="20">
      <c r="A20" s="17" t="inlineStr">
        <is>
          <t>Melissa Shandley / 298 Washington Blvd</t>
        </is>
      </c>
      <c r="B20" s="17" t="inlineStr">
        <is>
          <t>Eastern Idaho</t>
        </is>
      </c>
      <c r="C20" s="17" t="inlineStr">
        <is>
          <t>Brandon Simpson</t>
        </is>
      </c>
      <c r="D20" s="17" t="inlineStr">
        <is>
          <t>Kerrigan Simpson</t>
        </is>
      </c>
      <c r="E20" s="33" t="n">
        <v>46295</v>
      </c>
      <c r="F20" s="18" t="n">
        <v>15189</v>
      </c>
      <c r="G20" s="17" t="inlineStr">
        <is>
          <t>Level 1</t>
        </is>
      </c>
      <c r="H20" s="17" t="inlineStr">
        <is>
          <t>Brandon Simpson</t>
        </is>
      </c>
    </row>
    <row r="21">
      <c r="A21" s="17" t="inlineStr">
        <is>
          <t>Sandy Brown / 7875 Bear Dr</t>
        </is>
      </c>
      <c r="B21" s="17" t="inlineStr">
        <is>
          <t>Eastern Idaho</t>
        </is>
      </c>
      <c r="C21" s="17" t="inlineStr">
        <is>
          <t>Brandon Simpson</t>
        </is>
      </c>
      <c r="D21" s="17" t="inlineStr">
        <is>
          <t>Kerrigan Simpson</t>
        </is>
      </c>
      <c r="E21" s="33" t="n">
        <v>46277</v>
      </c>
      <c r="F21" s="18" t="n">
        <v>14318</v>
      </c>
      <c r="G21" s="17" t="inlineStr">
        <is>
          <t>Level 1</t>
        </is>
      </c>
      <c r="H21" s="17" t="inlineStr">
        <is>
          <t>Brandon Simpson</t>
        </is>
      </c>
    </row>
    <row r="22">
      <c r="A22" s="17" t="inlineStr">
        <is>
          <t>Choti Skousen / 17 Marthas Ct</t>
        </is>
      </c>
      <c r="B22" s="17" t="inlineStr">
        <is>
          <t>Eastern Idaho</t>
        </is>
      </c>
      <c r="C22" s="17" t="inlineStr">
        <is>
          <t>Brandon Simpson</t>
        </is>
      </c>
      <c r="D22" s="17" t="inlineStr">
        <is>
          <t>Nick Brown</t>
        </is>
      </c>
      <c r="E22" s="33" t="n">
        <v>46273</v>
      </c>
      <c r="F22" s="18" t="n">
        <v>10997</v>
      </c>
      <c r="G22" s="17" t="inlineStr">
        <is>
          <t>Level 1</t>
        </is>
      </c>
      <c r="H22" s="17" t="inlineStr">
        <is>
          <t>Brandon Simpson</t>
        </is>
      </c>
    </row>
    <row r="23">
      <c r="A23" s="17" t="inlineStr">
        <is>
          <t>Mike Debolt / 311 24th St SW</t>
        </is>
      </c>
      <c r="B23" s="17" t="inlineStr">
        <is>
          <t>Eastern Idaho</t>
        </is>
      </c>
      <c r="C23" s="17" t="inlineStr">
        <is>
          <t>Brandon Simpson</t>
        </is>
      </c>
      <c r="D23" s="17" t="inlineStr">
        <is>
          <t>Nick Brown</t>
        </is>
      </c>
      <c r="E23" s="33" t="n">
        <v>46290</v>
      </c>
      <c r="F23" s="18" t="n">
        <v>10008</v>
      </c>
      <c r="G23" s="17" t="inlineStr">
        <is>
          <t>Level 1</t>
        </is>
      </c>
      <c r="H23" s="17" t="inlineStr">
        <is>
          <t>Brandon Simpson</t>
        </is>
      </c>
    </row>
    <row r="24">
      <c r="A24" s="17" t="inlineStr">
        <is>
          <t>Senter Timmons / 175 Bridger Dr</t>
        </is>
      </c>
      <c r="B24" s="17" t="inlineStr">
        <is>
          <t>Eastern Idaho</t>
        </is>
      </c>
      <c r="C24" s="17" t="inlineStr">
        <is>
          <t>Brandon Simpson</t>
        </is>
      </c>
      <c r="D24" s="17" t="inlineStr">
        <is>
          <t>Nick Brown</t>
        </is>
      </c>
      <c r="E24" s="33" t="n">
        <v>46268</v>
      </c>
      <c r="F24" s="18" t="n">
        <v>8940</v>
      </c>
      <c r="G24" s="17" t="inlineStr">
        <is>
          <t>Level 1</t>
        </is>
      </c>
      <c r="H24" s="17" t="inlineStr">
        <is>
          <t>Brandon Simpson</t>
        </is>
      </c>
    </row>
    <row r="25">
      <c r="A25" s="17" t="inlineStr">
        <is>
          <t>Susan Quillen / 4600 Lerch Ln</t>
        </is>
      </c>
      <c r="B25" s="17" t="inlineStr">
        <is>
          <t>Eastern Idaho</t>
        </is>
      </c>
      <c r="C25" s="17" t="inlineStr">
        <is>
          <t>Brandon Simpson</t>
        </is>
      </c>
      <c r="D25" s="17" t="inlineStr">
        <is>
          <t>Nick Brown</t>
        </is>
      </c>
      <c r="E25" s="33" t="n">
        <v>46276</v>
      </c>
      <c r="F25" s="18" t="n">
        <v>8050</v>
      </c>
      <c r="G25" s="17" t="inlineStr">
        <is>
          <t>Level 1</t>
        </is>
      </c>
      <c r="H25" s="17" t="inlineStr">
        <is>
          <t>Brandon Simpson</t>
        </is>
      </c>
    </row>
    <row r="26">
      <c r="A26" s="29" t="inlineStr">
        <is>
          <t>TOTAL</t>
        </is>
      </c>
      <c r="B26" s="7" t="n"/>
      <c r="C26" s="7" t="n"/>
      <c r="D26" s="7" t="n"/>
      <c r="E26" s="7" t="n"/>
      <c r="F26" s="31">
        <f>SUM(F12:F25)</f>
        <v/>
      </c>
      <c r="G26" s="7" t="n"/>
      <c r="H26" s="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14" customWidth="1" min="5" max="5"/>
    <col width="16" customWidth="1" min="6" max="6"/>
    <col width="15" customWidth="1" min="7" max="7"/>
    <col width="20" customWidth="1" min="8" max="8"/>
  </cols>
  <sheetData>
    <row r="1">
      <c r="A1" s="12" t="inlineStr">
        <is>
          <t>Nathan Lewis</t>
        </is>
      </c>
    </row>
    <row r="2">
      <c r="A2" s="13" t="inlineStr">
        <is>
          <t>Total downline revenue (September 2026):</t>
        </is>
      </c>
      <c r="B2" s="14">
        <f>F23</f>
        <v/>
      </c>
    </row>
    <row r="4">
      <c r="A4" s="15" t="inlineStr">
        <is>
          <t>Downline Recruit Breakdown</t>
        </is>
      </c>
    </row>
    <row r="5">
      <c r="A5" s="16" t="inlineStr">
        <is>
          <t>Recruit</t>
        </is>
      </c>
      <c r="B5" s="16" t="inlineStr">
        <is>
          <t>Sales Team</t>
        </is>
      </c>
      <c r="C5" s="16" t="inlineStr">
        <is>
          <t>Level</t>
        </is>
      </c>
      <c r="D5" s="16" t="inlineStr">
        <is>
          <t>Recruited By</t>
        </is>
      </c>
      <c r="E5" s="16" t="inlineStr">
        <is>
          <t>Deals</t>
        </is>
      </c>
      <c r="F5" s="16" t="inlineStr">
        <is>
          <t>Revenue</t>
        </is>
      </c>
      <c r="G5" s="16" t="inlineStr">
        <is>
          <t>% of Total</t>
        </is>
      </c>
    </row>
    <row r="6">
      <c r="A6" s="17" t="inlineStr">
        <is>
          <t>Ryan Kelsey</t>
        </is>
      </c>
      <c r="B6" s="17" t="inlineStr">
        <is>
          <t>Northern California</t>
        </is>
      </c>
      <c r="C6" s="17" t="inlineStr">
        <is>
          <t>Level 1</t>
        </is>
      </c>
      <c r="D6" s="17" t="inlineStr">
        <is>
          <t>Nathan Lewis</t>
        </is>
      </c>
      <c r="E6" s="17">
        <f>COUNTIF($H$13:$H$22,A6)</f>
        <v/>
      </c>
      <c r="F6" s="18">
        <f>SUMIF($H$13:$H$22,A6,$F$13:$F$22)</f>
        <v/>
      </c>
      <c r="G6" s="19">
        <f>IF($F$23=0,0,F6/$F$23)</f>
        <v/>
      </c>
    </row>
    <row r="7">
      <c r="A7" s="17" t="inlineStr">
        <is>
          <t>Ethan Saxton</t>
        </is>
      </c>
      <c r="B7" s="17" t="inlineStr">
        <is>
          <t>Southern Utah</t>
        </is>
      </c>
      <c r="C7" s="17" t="inlineStr">
        <is>
          <t>Level 1</t>
        </is>
      </c>
      <c r="D7" s="17" t="inlineStr">
        <is>
          <t>Nathan Lewis</t>
        </is>
      </c>
      <c r="E7" s="17">
        <f>COUNTIF($H$13:$H$22,A7)</f>
        <v/>
      </c>
      <c r="F7" s="18">
        <f>SUMIF($H$13:$H$22,A7,$F$13:$F$22)</f>
        <v/>
      </c>
      <c r="G7" s="19">
        <f>IF($F$23=0,0,F7/$F$23)</f>
        <v/>
      </c>
    </row>
    <row r="8">
      <c r="A8" s="20" t="inlineStr">
        <is>
          <t>Camille Gerritsen</t>
        </is>
      </c>
      <c r="B8" s="20" t="inlineStr">
        <is>
          <t>Northern Utah</t>
        </is>
      </c>
      <c r="C8" s="20" t="inlineStr">
        <is>
          <t>Level 2</t>
        </is>
      </c>
      <c r="D8" s="20" t="inlineStr">
        <is>
          <t>Ethan Saxton</t>
        </is>
      </c>
      <c r="E8" s="20">
        <f>COUNTIF($H$13:$H$22,A8)</f>
        <v/>
      </c>
      <c r="F8" s="21">
        <f>SUMIF($H$13:$H$22,A8,$F$13:$F$22)</f>
        <v/>
      </c>
      <c r="G8" s="22">
        <f>IF($F$23=0,0,F8/$F$23)</f>
        <v/>
      </c>
    </row>
    <row r="9">
      <c r="A9" s="29" t="inlineStr">
        <is>
          <t>TOTAL</t>
        </is>
      </c>
      <c r="B9" s="7" t="n"/>
      <c r="C9" s="7" t="n"/>
      <c r="D9" s="7" t="n"/>
      <c r="E9" s="30">
        <f>SUM(E6:E8)</f>
        <v/>
      </c>
      <c r="F9" s="31">
        <f>SUM(F6:F8)</f>
        <v/>
      </c>
      <c r="G9" s="32">
        <f>SUM(G6:G8)</f>
        <v/>
      </c>
    </row>
    <row r="11">
      <c r="A11" s="15" t="inlineStr">
        <is>
          <t>Opportunities</t>
        </is>
      </c>
    </row>
    <row r="12">
      <c r="A12" s="16" t="inlineStr">
        <is>
          <t>Opportunity</t>
        </is>
      </c>
      <c r="B12" s="16" t="inlineStr">
        <is>
          <t>Sales Team</t>
        </is>
      </c>
      <c r="C12" s="16" t="inlineStr">
        <is>
          <t>Canvasser</t>
        </is>
      </c>
      <c r="D12" s="16" t="inlineStr">
        <is>
          <t>Closer</t>
        </is>
      </c>
      <c r="E12" s="16" t="inlineStr">
        <is>
          <t>Closing Date</t>
        </is>
      </c>
      <c r="F12" s="16" t="inlineStr">
        <is>
          <t>Contract Value</t>
        </is>
      </c>
      <c r="G12" s="16" t="inlineStr">
        <is>
          <t>Downline</t>
        </is>
      </c>
      <c r="H12" s="16" t="inlineStr">
        <is>
          <t>Credited Via</t>
        </is>
      </c>
    </row>
    <row r="13">
      <c r="A13" s="17" t="inlineStr">
        <is>
          <t>Lewis Disbrow / 2473 Pine St</t>
        </is>
      </c>
      <c r="B13" s="17" t="inlineStr">
        <is>
          <t>Northern California</t>
        </is>
      </c>
      <c r="C13" s="17" t="inlineStr">
        <is>
          <t>Ryan Kelsey</t>
        </is>
      </c>
      <c r="D13" s="17" t="inlineStr">
        <is>
          <t>Ryan Kelsey</t>
        </is>
      </c>
      <c r="E13" s="33" t="n">
        <v>46273</v>
      </c>
      <c r="F13" s="18" t="n">
        <v>43003</v>
      </c>
      <c r="G13" s="17" t="inlineStr">
        <is>
          <t>Level 1</t>
        </is>
      </c>
      <c r="H13" s="17" t="inlineStr">
        <is>
          <t>Ryan Kelsey</t>
        </is>
      </c>
    </row>
    <row r="14">
      <c r="A14" s="17" t="inlineStr">
        <is>
          <t>Karen Tomajan / 623 Pasa Tiempo Ct</t>
        </is>
      </c>
      <c r="B14" s="17" t="inlineStr">
        <is>
          <t>Northern California</t>
        </is>
      </c>
      <c r="C14" s="17" t="inlineStr">
        <is>
          <t>Ryan Kelsey</t>
        </is>
      </c>
      <c r="D14" s="17" t="inlineStr">
        <is>
          <t>Ryan Kelsey</t>
        </is>
      </c>
      <c r="E14" s="33" t="n">
        <v>46277</v>
      </c>
      <c r="F14" s="18" t="n">
        <v>22991</v>
      </c>
      <c r="G14" s="17" t="inlineStr">
        <is>
          <t>Level 1</t>
        </is>
      </c>
      <c r="H14" s="17" t="inlineStr">
        <is>
          <t>Ryan Kelsey</t>
        </is>
      </c>
    </row>
    <row r="15">
      <c r="A15" s="17" t="inlineStr">
        <is>
          <t>Cathy McGoff / 2055 Cactus Ct Apt 3</t>
        </is>
      </c>
      <c r="B15" s="17" t="inlineStr">
        <is>
          <t>Northern California</t>
        </is>
      </c>
      <c r="C15" s="17" t="inlineStr">
        <is>
          <t>Ryan Kelsey</t>
        </is>
      </c>
      <c r="D15" s="17" t="inlineStr">
        <is>
          <t>Ryan Kelsey</t>
        </is>
      </c>
      <c r="E15" s="33" t="n">
        <v>46267</v>
      </c>
      <c r="F15" s="18" t="n">
        <v>21244</v>
      </c>
      <c r="G15" s="17" t="inlineStr">
        <is>
          <t>Level 1</t>
        </is>
      </c>
      <c r="H15" s="17" t="inlineStr">
        <is>
          <t>Ryan Kelsey</t>
        </is>
      </c>
    </row>
    <row r="16">
      <c r="A16" s="17" t="inlineStr">
        <is>
          <t>Maralene Spawn / 1242 Cortez Ave</t>
        </is>
      </c>
      <c r="B16" s="17" t="inlineStr">
        <is>
          <t>Southern Utah</t>
        </is>
      </c>
      <c r="C16" s="17" t="inlineStr">
        <is>
          <t>Ethan Saxton</t>
        </is>
      </c>
      <c r="D16" s="17" t="inlineStr">
        <is>
          <t>Jordan Naylor</t>
        </is>
      </c>
      <c r="E16" s="33" t="n">
        <v>46279</v>
      </c>
      <c r="F16" s="18" t="n">
        <v>15127</v>
      </c>
      <c r="G16" s="17" t="inlineStr">
        <is>
          <t>Level 1</t>
        </is>
      </c>
      <c r="H16" s="17" t="inlineStr">
        <is>
          <t>Ethan Saxton</t>
        </is>
      </c>
    </row>
    <row r="17">
      <c r="A17" s="17" t="inlineStr">
        <is>
          <t>Darlene Bohl / 1082 Sierra Granda Blvd</t>
        </is>
      </c>
      <c r="B17" s="17" t="inlineStr">
        <is>
          <t>Southern Utah</t>
        </is>
      </c>
      <c r="C17" s="17" t="inlineStr">
        <is>
          <t>Ethan Saxton</t>
        </is>
      </c>
      <c r="D17" s="17" t="inlineStr">
        <is>
          <t>Nathan Lewis</t>
        </is>
      </c>
      <c r="E17" s="33" t="n">
        <v>46282</v>
      </c>
      <c r="F17" s="18" t="n">
        <v>9869</v>
      </c>
      <c r="G17" s="17" t="inlineStr">
        <is>
          <t>Level 1</t>
        </is>
      </c>
      <c r="H17" s="17" t="inlineStr">
        <is>
          <t>Ethan Saxton</t>
        </is>
      </c>
    </row>
    <row r="18">
      <c r="A18" s="20" t="inlineStr">
        <is>
          <t>Phil Bushilla / 701 Red Letter St</t>
        </is>
      </c>
      <c r="B18" s="20" t="inlineStr">
        <is>
          <t>Northern Utah</t>
        </is>
      </c>
      <c r="C18" s="20" t="inlineStr">
        <is>
          <t>Camille Gerritsen</t>
        </is>
      </c>
      <c r="D18" s="20" t="inlineStr">
        <is>
          <t>Carl Crosland</t>
        </is>
      </c>
      <c r="E18" s="34" t="n">
        <v>46277</v>
      </c>
      <c r="F18" s="21" t="n">
        <v>25904</v>
      </c>
      <c r="G18" s="20" t="inlineStr">
        <is>
          <t>Level 2</t>
        </is>
      </c>
      <c r="H18" s="20" t="inlineStr">
        <is>
          <t>Camille Gerritsen</t>
        </is>
      </c>
    </row>
    <row r="19">
      <c r="A19" s="20" t="inlineStr">
        <is>
          <t>Brian Morris / 2102 Turmaline Ct</t>
        </is>
      </c>
      <c r="B19" s="20" t="inlineStr">
        <is>
          <t>Northern Utah</t>
        </is>
      </c>
      <c r="C19" s="20" t="inlineStr">
        <is>
          <t>Camille Gerritsen</t>
        </is>
      </c>
      <c r="D19" s="20" t="inlineStr">
        <is>
          <t>Dane Covington</t>
        </is>
      </c>
      <c r="E19" s="34" t="n">
        <v>46279</v>
      </c>
      <c r="F19" s="21" t="n">
        <v>20817</v>
      </c>
      <c r="G19" s="20" t="inlineStr">
        <is>
          <t>Level 2</t>
        </is>
      </c>
      <c r="H19" s="20" t="inlineStr">
        <is>
          <t>Camille Gerritsen</t>
        </is>
      </c>
    </row>
    <row r="20">
      <c r="A20" s="20" t="inlineStr">
        <is>
          <t>Travis Groberg / 313 Emerson Ave</t>
        </is>
      </c>
      <c r="B20" s="20" t="inlineStr">
        <is>
          <t>Northern Utah</t>
        </is>
      </c>
      <c r="C20" s="20" t="inlineStr">
        <is>
          <t>Camille Gerritsen</t>
        </is>
      </c>
      <c r="D20" s="20" t="inlineStr">
        <is>
          <t>Dane Covington</t>
        </is>
      </c>
      <c r="E20" s="34" t="n">
        <v>46270</v>
      </c>
      <c r="F20" s="21" t="n">
        <v>11519</v>
      </c>
      <c r="G20" s="20" t="inlineStr">
        <is>
          <t>Level 2</t>
        </is>
      </c>
      <c r="H20" s="20" t="inlineStr">
        <is>
          <t>Camille Gerritsen</t>
        </is>
      </c>
    </row>
    <row r="21">
      <c r="A21" s="20" t="inlineStr">
        <is>
          <t>Zoe Bushilla / 2514 Heritage Dr</t>
        </is>
      </c>
      <c r="B21" s="20" t="inlineStr">
        <is>
          <t>Northern Utah</t>
        </is>
      </c>
      <c r="C21" s="20" t="inlineStr">
        <is>
          <t>Camille Gerritsen</t>
        </is>
      </c>
      <c r="D21" s="20" t="inlineStr">
        <is>
          <t>Carl Crosland</t>
        </is>
      </c>
      <c r="E21" s="34" t="n">
        <v>46277</v>
      </c>
      <c r="F21" s="21" t="n">
        <v>10988</v>
      </c>
      <c r="G21" s="20" t="inlineStr">
        <is>
          <t>Level 2</t>
        </is>
      </c>
      <c r="H21" s="20" t="inlineStr">
        <is>
          <t>Camille Gerritsen</t>
        </is>
      </c>
    </row>
    <row r="22">
      <c r="A22" s="20" t="inlineStr">
        <is>
          <t>Kathleenn Koford / 15 S Raleigh St</t>
        </is>
      </c>
      <c r="B22" s="20" t="inlineStr">
        <is>
          <t>Northern Utah</t>
        </is>
      </c>
      <c r="C22" s="20" t="inlineStr">
        <is>
          <t>Camille Gerritsen</t>
        </is>
      </c>
      <c r="D22" s="20" t="inlineStr">
        <is>
          <t>Dane Covington</t>
        </is>
      </c>
      <c r="E22" s="34" t="n">
        <v>46283</v>
      </c>
      <c r="F22" s="21" t="n">
        <v>7448</v>
      </c>
      <c r="G22" s="20" t="inlineStr">
        <is>
          <t>Level 2</t>
        </is>
      </c>
      <c r="H22" s="20" t="inlineStr">
        <is>
          <t>Camille Gerritsen</t>
        </is>
      </c>
    </row>
    <row r="23">
      <c r="A23" s="29" t="inlineStr">
        <is>
          <t>TOTAL</t>
        </is>
      </c>
      <c r="B23" s="7" t="n"/>
      <c r="C23" s="7" t="n"/>
      <c r="D23" s="7" t="n"/>
      <c r="E23" s="7" t="n"/>
      <c r="F23" s="31">
        <f>SUM(F13:F22)</f>
        <v/>
      </c>
      <c r="G23" s="7" t="n"/>
      <c r="H23" s="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14" customWidth="1" min="5" max="5"/>
    <col width="16" customWidth="1" min="6" max="6"/>
    <col width="15" customWidth="1" min="7" max="7"/>
    <col width="20" customWidth="1" min="8" max="8"/>
  </cols>
  <sheetData>
    <row r="1">
      <c r="A1" s="12" t="inlineStr">
        <is>
          <t>Nick Brown</t>
        </is>
      </c>
    </row>
    <row r="2">
      <c r="A2" s="13" t="inlineStr">
        <is>
          <t>Total downline revenue (September 2026):</t>
        </is>
      </c>
      <c r="B2" s="14">
        <f>F26</f>
        <v/>
      </c>
    </row>
    <row r="4">
      <c r="A4" s="15" t="inlineStr">
        <is>
          <t>Downline Recruit Breakdown</t>
        </is>
      </c>
    </row>
    <row r="5">
      <c r="A5" s="16" t="inlineStr">
        <is>
          <t>Recruit</t>
        </is>
      </c>
      <c r="B5" s="16" t="inlineStr">
        <is>
          <t>Sales Team</t>
        </is>
      </c>
      <c r="C5" s="16" t="inlineStr">
        <is>
          <t>Level</t>
        </is>
      </c>
      <c r="D5" s="16" t="inlineStr">
        <is>
          <t>Recruited By</t>
        </is>
      </c>
      <c r="E5" s="16" t="inlineStr">
        <is>
          <t>Deals</t>
        </is>
      </c>
      <c r="F5" s="16" t="inlineStr">
        <is>
          <t>Revenue</t>
        </is>
      </c>
      <c r="G5" s="16" t="inlineStr">
        <is>
          <t>% of Total</t>
        </is>
      </c>
    </row>
    <row r="6">
      <c r="A6" s="37" t="inlineStr">
        <is>
          <t>Nick Brown</t>
        </is>
      </c>
      <c r="B6" s="37" t="inlineStr">
        <is>
          <t>Eastern Idaho</t>
        </is>
      </c>
      <c r="C6" s="37" t="inlineStr">
        <is>
          <t>Self</t>
        </is>
      </c>
      <c r="D6" s="37" t="inlineStr"/>
      <c r="E6" s="37">
        <f>COUNTIF($H$14:$H$25,A6)</f>
        <v/>
      </c>
      <c r="F6" s="38">
        <f>SUMIF($H$14:$H$25,A6,$F$14:$F$25)</f>
        <v/>
      </c>
      <c r="G6" s="39">
        <f>IF($F$26=0,0,F6/$F$26)</f>
        <v/>
      </c>
    </row>
    <row r="7">
      <c r="A7" s="17" t="inlineStr">
        <is>
          <t>Zackary Johnston</t>
        </is>
      </c>
      <c r="B7" s="17" t="inlineStr">
        <is>
          <t>Eastern Idaho</t>
        </is>
      </c>
      <c r="C7" s="17" t="inlineStr">
        <is>
          <t>Level 1</t>
        </is>
      </c>
      <c r="D7" s="17" t="inlineStr">
        <is>
          <t>Nick Brown</t>
        </is>
      </c>
      <c r="E7" s="17">
        <f>COUNTIF($H$14:$H$25,A7)</f>
        <v/>
      </c>
      <c r="F7" s="18">
        <f>SUMIF($H$14:$H$25,A7,$F$14:$F$25)</f>
        <v/>
      </c>
      <c r="G7" s="19">
        <f>IF($F$26=0,0,F7/$F$26)</f>
        <v/>
      </c>
    </row>
    <row r="8">
      <c r="A8" s="17" t="inlineStr">
        <is>
          <t>Alan Fransen</t>
        </is>
      </c>
      <c r="B8" s="17" t="inlineStr">
        <is>
          <t>Eastern Idaho</t>
        </is>
      </c>
      <c r="C8" s="17" t="inlineStr">
        <is>
          <t>Level 1</t>
        </is>
      </c>
      <c r="D8" s="17" t="inlineStr">
        <is>
          <t>Nick Brown</t>
        </is>
      </c>
      <c r="E8" s="17">
        <f>COUNTIF($H$14:$H$25,A8)</f>
        <v/>
      </c>
      <c r="F8" s="18">
        <f>SUMIF($H$14:$H$25,A8,$F$14:$F$25)</f>
        <v/>
      </c>
      <c r="G8" s="19">
        <f>IF($F$26=0,0,F8/$F$26)</f>
        <v/>
      </c>
    </row>
    <row r="9">
      <c r="A9" s="20" t="inlineStr">
        <is>
          <t>Caleb Fransen</t>
        </is>
      </c>
      <c r="B9" s="20" t="inlineStr">
        <is>
          <t>Eastern Idaho</t>
        </is>
      </c>
      <c r="C9" s="20" t="inlineStr">
        <is>
          <t>Level 2</t>
        </is>
      </c>
      <c r="D9" s="20" t="inlineStr">
        <is>
          <t>Alan Fransen</t>
        </is>
      </c>
      <c r="E9" s="20">
        <f>COUNTIF($H$14:$H$25,A9)</f>
        <v/>
      </c>
      <c r="F9" s="21">
        <f>SUMIF($H$14:$H$25,A9,$F$14:$F$25)</f>
        <v/>
      </c>
      <c r="G9" s="22">
        <f>IF($F$26=0,0,F9/$F$26)</f>
        <v/>
      </c>
    </row>
    <row r="10">
      <c r="A10" s="29" t="inlineStr">
        <is>
          <t>TOTAL</t>
        </is>
      </c>
      <c r="B10" s="7" t="n"/>
      <c r="C10" s="7" t="n"/>
      <c r="D10" s="7" t="n"/>
      <c r="E10" s="30">
        <f>SUM(E6:E9)</f>
        <v/>
      </c>
      <c r="F10" s="31">
        <f>SUM(F6:F9)</f>
        <v/>
      </c>
      <c r="G10" s="32">
        <f>SUM(G6:G9)</f>
        <v/>
      </c>
    </row>
    <row r="12">
      <c r="A12" s="15" t="inlineStr">
        <is>
          <t>Opportunities</t>
        </is>
      </c>
    </row>
    <row r="13">
      <c r="A13" s="16" t="inlineStr">
        <is>
          <t>Opportunity</t>
        </is>
      </c>
      <c r="B13" s="16" t="inlineStr">
        <is>
          <t>Sales Team</t>
        </is>
      </c>
      <c r="C13" s="16" t="inlineStr">
        <is>
          <t>Canvasser</t>
        </is>
      </c>
      <c r="D13" s="16" t="inlineStr">
        <is>
          <t>Closer</t>
        </is>
      </c>
      <c r="E13" s="16" t="inlineStr">
        <is>
          <t>Closing Date</t>
        </is>
      </c>
      <c r="F13" s="16" t="inlineStr">
        <is>
          <t>Contract Value</t>
        </is>
      </c>
      <c r="G13" s="16" t="inlineStr">
        <is>
          <t>Downline</t>
        </is>
      </c>
      <c r="H13" s="16" t="inlineStr">
        <is>
          <t>Credited Via</t>
        </is>
      </c>
    </row>
    <row r="14">
      <c r="A14" s="37" t="inlineStr">
        <is>
          <t>Brett Breaud / 1 Prospect Way</t>
        </is>
      </c>
      <c r="B14" s="37" t="inlineStr">
        <is>
          <t>Eastern Idaho</t>
        </is>
      </c>
      <c r="C14" s="37" t="inlineStr">
        <is>
          <t>Nick Brown</t>
        </is>
      </c>
      <c r="D14" s="37" t="inlineStr">
        <is>
          <t>Nick Brown</t>
        </is>
      </c>
      <c r="E14" s="40" t="n">
        <v>46291</v>
      </c>
      <c r="F14" s="38" t="n">
        <v>26855</v>
      </c>
      <c r="G14" s="37" t="inlineStr">
        <is>
          <t>Self</t>
        </is>
      </c>
      <c r="H14" s="37" t="inlineStr">
        <is>
          <t>Nick Brown</t>
        </is>
      </c>
    </row>
    <row r="15">
      <c r="A15" s="37" t="inlineStr">
        <is>
          <t>Shawna Williams / 2213 Pauline Dr</t>
        </is>
      </c>
      <c r="B15" s="37" t="inlineStr">
        <is>
          <t>Eastern Idaho</t>
        </is>
      </c>
      <c r="C15" s="37" t="inlineStr">
        <is>
          <t>Nick Brown</t>
        </is>
      </c>
      <c r="D15" s="37" t="inlineStr">
        <is>
          <t>Nick Brown</t>
        </is>
      </c>
      <c r="E15" s="40" t="n">
        <v>46274</v>
      </c>
      <c r="F15" s="38" t="n">
        <v>16955</v>
      </c>
      <c r="G15" s="37" t="inlineStr">
        <is>
          <t>Self</t>
        </is>
      </c>
      <c r="H15" s="37" t="inlineStr">
        <is>
          <t>Nick Brown</t>
        </is>
      </c>
    </row>
    <row r="16">
      <c r="A16" s="37" t="inlineStr">
        <is>
          <t>Russell Simmons / 100 Sharon Dr</t>
        </is>
      </c>
      <c r="B16" s="37" t="inlineStr">
        <is>
          <t>Eastern Idaho</t>
        </is>
      </c>
      <c r="C16" s="37" t="inlineStr">
        <is>
          <t>Nick Brown</t>
        </is>
      </c>
      <c r="D16" s="37" t="inlineStr">
        <is>
          <t>Nick Brown</t>
        </is>
      </c>
      <c r="E16" s="40" t="n">
        <v>46288</v>
      </c>
      <c r="F16" s="38" t="n">
        <v>15055</v>
      </c>
      <c r="G16" s="37" t="inlineStr">
        <is>
          <t>Self</t>
        </is>
      </c>
      <c r="H16" s="37" t="inlineStr">
        <is>
          <t>Nick Brown</t>
        </is>
      </c>
    </row>
    <row r="17">
      <c r="A17" s="37" t="inlineStr">
        <is>
          <t>Robert Peraino / 3255 Humble Rd</t>
        </is>
      </c>
      <c r="B17" s="37" t="inlineStr">
        <is>
          <t>Eastern Idaho</t>
        </is>
      </c>
      <c r="C17" s="37" t="inlineStr">
        <is>
          <t>Nick Brown</t>
        </is>
      </c>
      <c r="D17" s="37" t="inlineStr">
        <is>
          <t>Nick Brown</t>
        </is>
      </c>
      <c r="E17" s="40" t="n">
        <v>46277</v>
      </c>
      <c r="F17" s="38" t="n">
        <v>10098</v>
      </c>
      <c r="G17" s="37" t="inlineStr">
        <is>
          <t>Self</t>
        </is>
      </c>
      <c r="H17" s="37" t="inlineStr">
        <is>
          <t>Nick Brown</t>
        </is>
      </c>
    </row>
    <row r="18">
      <c r="A18" s="37" t="inlineStr">
        <is>
          <t>Kasey Morris / 1330 Country Home Ln</t>
        </is>
      </c>
      <c r="B18" s="37" t="inlineStr">
        <is>
          <t>Eastern Idaho</t>
        </is>
      </c>
      <c r="C18" s="37" t="inlineStr">
        <is>
          <t>Nick Brown</t>
        </is>
      </c>
      <c r="D18" s="37" t="inlineStr">
        <is>
          <t>Nick Brown</t>
        </is>
      </c>
      <c r="E18" s="40" t="n">
        <v>46289</v>
      </c>
      <c r="F18" s="38" t="n">
        <v>7603</v>
      </c>
      <c r="G18" s="37" t="inlineStr">
        <is>
          <t>Self</t>
        </is>
      </c>
      <c r="H18" s="37" t="inlineStr">
        <is>
          <t>Nick Brown</t>
        </is>
      </c>
    </row>
    <row r="19">
      <c r="A19" s="17" t="inlineStr">
        <is>
          <t>Manuel Fagundes / 67 Embry Ln</t>
        </is>
      </c>
      <c r="B19" s="17" t="inlineStr">
        <is>
          <t>Eastern Idaho</t>
        </is>
      </c>
      <c r="C19" s="17" t="inlineStr">
        <is>
          <t>Zackary Johnston</t>
        </is>
      </c>
      <c r="D19" s="17" t="inlineStr">
        <is>
          <t>Nick Brown</t>
        </is>
      </c>
      <c r="E19" s="33" t="n">
        <v>46292</v>
      </c>
      <c r="F19" s="18" t="n">
        <v>17474</v>
      </c>
      <c r="G19" s="17" t="inlineStr">
        <is>
          <t>Level 1</t>
        </is>
      </c>
      <c r="H19" s="17" t="inlineStr">
        <is>
          <t>Zackary Johnston</t>
        </is>
      </c>
    </row>
    <row r="20">
      <c r="A20" s="17" t="inlineStr">
        <is>
          <t>David Poulson / 4443 E 116 N</t>
        </is>
      </c>
      <c r="B20" s="17" t="inlineStr">
        <is>
          <t>Eastern Idaho</t>
        </is>
      </c>
      <c r="C20" s="17" t="inlineStr">
        <is>
          <t>Alan Fransen</t>
        </is>
      </c>
      <c r="D20" s="17" t="inlineStr">
        <is>
          <t>Alan Fransen</t>
        </is>
      </c>
      <c r="E20" s="33" t="n">
        <v>46279</v>
      </c>
      <c r="F20" s="18" t="n">
        <v>13785</v>
      </c>
      <c r="G20" s="17" t="inlineStr">
        <is>
          <t>Level 1</t>
        </is>
      </c>
      <c r="H20" s="17" t="inlineStr">
        <is>
          <t>Alan Fransen</t>
        </is>
      </c>
    </row>
    <row r="21">
      <c r="A21" s="17" t="inlineStr">
        <is>
          <t>Forrest Barnes / 237 N 4300 E</t>
        </is>
      </c>
      <c r="B21" s="17" t="inlineStr">
        <is>
          <t>Eastern Idaho</t>
        </is>
      </c>
      <c r="C21" s="17" t="inlineStr">
        <is>
          <t>Alan Fransen</t>
        </is>
      </c>
      <c r="D21" s="17" t="inlineStr">
        <is>
          <t>Alan Fransen</t>
        </is>
      </c>
      <c r="E21" s="33" t="n">
        <v>46289</v>
      </c>
      <c r="F21" s="18" t="n">
        <v>13441</v>
      </c>
      <c r="G21" s="17" t="inlineStr">
        <is>
          <t>Level 1</t>
        </is>
      </c>
      <c r="H21" s="17" t="inlineStr">
        <is>
          <t>Alan Fransen</t>
        </is>
      </c>
    </row>
    <row r="22">
      <c r="A22" s="17" t="inlineStr">
        <is>
          <t>Celia &amp; Mike Morse / 237 2nd St NW</t>
        </is>
      </c>
      <c r="B22" s="17" t="inlineStr">
        <is>
          <t>Eastern Idaho</t>
        </is>
      </c>
      <c r="C22" s="17" t="inlineStr">
        <is>
          <t>Zackary Johnston</t>
        </is>
      </c>
      <c r="D22" s="17" t="inlineStr">
        <is>
          <t>Nick Brown</t>
        </is>
      </c>
      <c r="E22" s="33" t="n">
        <v>46293</v>
      </c>
      <c r="F22" s="18" t="n">
        <v>12221</v>
      </c>
      <c r="G22" s="17" t="inlineStr">
        <is>
          <t>Level 1</t>
        </is>
      </c>
      <c r="H22" s="17" t="inlineStr">
        <is>
          <t>Zackary Johnston</t>
        </is>
      </c>
    </row>
    <row r="23">
      <c r="A23" s="17" t="inlineStr">
        <is>
          <t>Kali Dubose / 213 18th Ave NW</t>
        </is>
      </c>
      <c r="B23" s="17" t="inlineStr">
        <is>
          <t>Eastern Idaho</t>
        </is>
      </c>
      <c r="C23" s="17" t="inlineStr">
        <is>
          <t>Zackary Johnston</t>
        </is>
      </c>
      <c r="D23" s="17" t="inlineStr">
        <is>
          <t>Nick Brown</t>
        </is>
      </c>
      <c r="E23" s="33" t="n">
        <v>46290</v>
      </c>
      <c r="F23" s="18" t="n">
        <v>11832</v>
      </c>
      <c r="G23" s="17" t="inlineStr">
        <is>
          <t>Level 1</t>
        </is>
      </c>
      <c r="H23" s="17" t="inlineStr">
        <is>
          <t>Zackary Johnston</t>
        </is>
      </c>
    </row>
    <row r="24">
      <c r="A24" s="17" t="inlineStr">
        <is>
          <t>Thomas Strong / 4124 E 230 N</t>
        </is>
      </c>
      <c r="B24" s="17" t="inlineStr">
        <is>
          <t>Eastern Idaho</t>
        </is>
      </c>
      <c r="C24" s="17" t="inlineStr">
        <is>
          <t>Alan Fransen</t>
        </is>
      </c>
      <c r="D24" s="17" t="inlineStr">
        <is>
          <t>Alan Fransen</t>
        </is>
      </c>
      <c r="E24" s="33" t="n">
        <v>46289</v>
      </c>
      <c r="F24" s="18" t="n">
        <v>6095</v>
      </c>
      <c r="G24" s="17" t="inlineStr">
        <is>
          <t>Level 1</t>
        </is>
      </c>
      <c r="H24" s="17" t="inlineStr">
        <is>
          <t>Alan Fransen</t>
        </is>
      </c>
    </row>
    <row r="25">
      <c r="A25" s="20" t="inlineStr">
        <is>
          <t>Lam Vo / 331 Alder St</t>
        </is>
      </c>
      <c r="B25" s="20" t="inlineStr">
        <is>
          <t>Eastern Idaho</t>
        </is>
      </c>
      <c r="C25" s="20" t="inlineStr">
        <is>
          <t>Caleb Fransen</t>
        </is>
      </c>
      <c r="D25" s="20" t="inlineStr">
        <is>
          <t>Kerrigan Simpson</t>
        </is>
      </c>
      <c r="E25" s="34" t="n">
        <v>46270</v>
      </c>
      <c r="F25" s="21" t="n">
        <v>18991</v>
      </c>
      <c r="G25" s="20" t="inlineStr">
        <is>
          <t>Level 2</t>
        </is>
      </c>
      <c r="H25" s="20" t="inlineStr">
        <is>
          <t>Caleb Fransen</t>
        </is>
      </c>
    </row>
    <row r="26">
      <c r="A26" s="29" t="inlineStr">
        <is>
          <t>TOTAL</t>
        </is>
      </c>
      <c r="B26" s="7" t="n"/>
      <c r="C26" s="7" t="n"/>
      <c r="D26" s="7" t="n"/>
      <c r="E26" s="7" t="n"/>
      <c r="F26" s="31">
        <f>SUM(F14:F25)</f>
        <v/>
      </c>
      <c r="G26" s="7" t="n"/>
      <c r="H26" s="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14" customWidth="1" min="5" max="5"/>
    <col width="16" customWidth="1" min="6" max="6"/>
    <col width="15" customWidth="1" min="7" max="7"/>
    <col width="20" customWidth="1" min="8" max="8"/>
  </cols>
  <sheetData>
    <row r="1">
      <c r="A1" s="12" t="inlineStr">
        <is>
          <t>Dane Covington</t>
        </is>
      </c>
    </row>
    <row r="2">
      <c r="A2" s="13" t="inlineStr">
        <is>
          <t>Total downline revenue (September 2026):</t>
        </is>
      </c>
      <c r="B2" s="14">
        <f>F25</f>
        <v/>
      </c>
    </row>
    <row r="4">
      <c r="A4" s="15" t="inlineStr">
        <is>
          <t>Downline Recruit Breakdown</t>
        </is>
      </c>
    </row>
    <row r="5">
      <c r="A5" s="16" t="inlineStr">
        <is>
          <t>Recruit</t>
        </is>
      </c>
      <c r="B5" s="16" t="inlineStr">
        <is>
          <t>Sales Team</t>
        </is>
      </c>
      <c r="C5" s="16" t="inlineStr">
        <is>
          <t>Level</t>
        </is>
      </c>
      <c r="D5" s="16" t="inlineStr">
        <is>
          <t>Recruited By</t>
        </is>
      </c>
      <c r="E5" s="16" t="inlineStr">
        <is>
          <t>Deals</t>
        </is>
      </c>
      <c r="F5" s="16" t="inlineStr">
        <is>
          <t>Revenue</t>
        </is>
      </c>
      <c r="G5" s="16" t="inlineStr">
        <is>
          <t>% of Total</t>
        </is>
      </c>
    </row>
    <row r="6">
      <c r="A6" s="37" t="inlineStr">
        <is>
          <t>Dane Covington</t>
        </is>
      </c>
      <c r="B6" s="37" t="inlineStr">
        <is>
          <t>Northern Utah</t>
        </is>
      </c>
      <c r="C6" s="37" t="inlineStr">
        <is>
          <t>Self</t>
        </is>
      </c>
      <c r="D6" s="37" t="inlineStr"/>
      <c r="E6" s="37">
        <f>COUNTIF($H$13:$H$24,A6)</f>
        <v/>
      </c>
      <c r="F6" s="38">
        <f>SUMIF($H$13:$H$24,A6,$F$13:$F$24)</f>
        <v/>
      </c>
      <c r="G6" s="39">
        <f>IF($F$25=0,0,F6/$F$25)</f>
        <v/>
      </c>
    </row>
    <row r="7">
      <c r="A7" s="17" t="inlineStr">
        <is>
          <t>Cade Covington</t>
        </is>
      </c>
      <c r="B7" s="17" t="inlineStr">
        <is>
          <t>Northern Utah</t>
        </is>
      </c>
      <c r="C7" s="17" t="inlineStr">
        <is>
          <t>Level 1</t>
        </is>
      </c>
      <c r="D7" s="17" t="inlineStr">
        <is>
          <t>Dane Covington</t>
        </is>
      </c>
      <c r="E7" s="17">
        <f>COUNTIF($H$13:$H$24,A7)</f>
        <v/>
      </c>
      <c r="F7" s="18">
        <f>SUMIF($H$13:$H$24,A7,$F$13:$F$24)</f>
        <v/>
      </c>
      <c r="G7" s="19">
        <f>IF($F$25=0,0,F7/$F$25)</f>
        <v/>
      </c>
    </row>
    <row r="8">
      <c r="A8" s="23" t="inlineStr">
        <is>
          <t>Isabella Basanta</t>
        </is>
      </c>
      <c r="B8" s="23" t="inlineStr">
        <is>
          <t>Northern Utah</t>
        </is>
      </c>
      <c r="C8" s="23" t="inlineStr">
        <is>
          <t>Level 3</t>
        </is>
      </c>
      <c r="D8" s="23" t="inlineStr">
        <is>
          <t>Mario Torres</t>
        </is>
      </c>
      <c r="E8" s="23">
        <f>COUNTIF($H$13:$H$24,A8)</f>
        <v/>
      </c>
      <c r="F8" s="24">
        <f>SUMIF($H$13:$H$24,A8,$F$13:$F$24)</f>
        <v/>
      </c>
      <c r="G8" s="25">
        <f>IF($F$25=0,0,F8/$F$25)</f>
        <v/>
      </c>
    </row>
    <row r="9">
      <c r="A9" s="29" t="inlineStr">
        <is>
          <t>TOTAL</t>
        </is>
      </c>
      <c r="B9" s="7" t="n"/>
      <c r="C9" s="7" t="n"/>
      <c r="D9" s="7" t="n"/>
      <c r="E9" s="30">
        <f>SUM(E6:E8)</f>
        <v/>
      </c>
      <c r="F9" s="31">
        <f>SUM(F6:F8)</f>
        <v/>
      </c>
      <c r="G9" s="32">
        <f>SUM(G6:G8)</f>
        <v/>
      </c>
    </row>
    <row r="11">
      <c r="A11" s="15" t="inlineStr">
        <is>
          <t>Opportunities</t>
        </is>
      </c>
    </row>
    <row r="12">
      <c r="A12" s="16" t="inlineStr">
        <is>
          <t>Opportunity</t>
        </is>
      </c>
      <c r="B12" s="16" t="inlineStr">
        <is>
          <t>Sales Team</t>
        </is>
      </c>
      <c r="C12" s="16" t="inlineStr">
        <is>
          <t>Canvasser</t>
        </is>
      </c>
      <c r="D12" s="16" t="inlineStr">
        <is>
          <t>Closer</t>
        </is>
      </c>
      <c r="E12" s="16" t="inlineStr">
        <is>
          <t>Closing Date</t>
        </is>
      </c>
      <c r="F12" s="16" t="inlineStr">
        <is>
          <t>Contract Value</t>
        </is>
      </c>
      <c r="G12" s="16" t="inlineStr">
        <is>
          <t>Downline</t>
        </is>
      </c>
      <c r="H12" s="16" t="inlineStr">
        <is>
          <t>Credited Via</t>
        </is>
      </c>
    </row>
    <row r="13">
      <c r="A13" s="37" t="inlineStr">
        <is>
          <t>Mike Bakke / 1122 Choteau St</t>
        </is>
      </c>
      <c r="B13" s="37" t="inlineStr">
        <is>
          <t>Northern Utah</t>
        </is>
      </c>
      <c r="C13" s="37" t="inlineStr">
        <is>
          <t>Dane Covington</t>
        </is>
      </c>
      <c r="D13" s="37" t="inlineStr">
        <is>
          <t>Dane Covington</t>
        </is>
      </c>
      <c r="E13" s="40" t="n">
        <v>46279</v>
      </c>
      <c r="F13" s="38" t="n">
        <v>25357</v>
      </c>
      <c r="G13" s="37" t="inlineStr">
        <is>
          <t>Self</t>
        </is>
      </c>
      <c r="H13" s="37" t="inlineStr">
        <is>
          <t>Dane Covington</t>
        </is>
      </c>
    </row>
    <row r="14">
      <c r="A14" s="37" t="inlineStr">
        <is>
          <t>Kirsten Madsen / 703 8th Ave</t>
        </is>
      </c>
      <c r="B14" s="37" t="inlineStr">
        <is>
          <t>Northern Utah</t>
        </is>
      </c>
      <c r="C14" s="37" t="inlineStr">
        <is>
          <t>Dane Covington</t>
        </is>
      </c>
      <c r="D14" s="37" t="inlineStr">
        <is>
          <t>Dane Covington</t>
        </is>
      </c>
      <c r="E14" s="40" t="n">
        <v>46287</v>
      </c>
      <c r="F14" s="38" t="n">
        <v>22079</v>
      </c>
      <c r="G14" s="37" t="inlineStr">
        <is>
          <t>Self</t>
        </is>
      </c>
      <c r="H14" s="37" t="inlineStr">
        <is>
          <t>Dane Covington</t>
        </is>
      </c>
    </row>
    <row r="15">
      <c r="A15" s="37" t="inlineStr">
        <is>
          <t>Bryant Gauthier / 1827 Hollins Ave</t>
        </is>
      </c>
      <c r="B15" s="37" t="inlineStr">
        <is>
          <t>Northern Utah</t>
        </is>
      </c>
      <c r="C15" s="37" t="inlineStr">
        <is>
          <t>Dane Covington</t>
        </is>
      </c>
      <c r="D15" s="37" t="inlineStr">
        <is>
          <t>Dane Covington</t>
        </is>
      </c>
      <c r="E15" s="40" t="n">
        <v>46284</v>
      </c>
      <c r="F15" s="38" t="n">
        <v>16030</v>
      </c>
      <c r="G15" s="37" t="inlineStr">
        <is>
          <t>Self</t>
        </is>
      </c>
      <c r="H15" s="37" t="inlineStr">
        <is>
          <t>Dane Covington</t>
        </is>
      </c>
    </row>
    <row r="16">
      <c r="A16" s="37" t="inlineStr">
        <is>
          <t>Sandy Kurek 2 / 1100 S 200 W</t>
        </is>
      </c>
      <c r="B16" s="37" t="inlineStr">
        <is>
          <t>Northern Utah</t>
        </is>
      </c>
      <c r="C16" s="37" t="inlineStr">
        <is>
          <t>Dane Covington</t>
        </is>
      </c>
      <c r="D16" s="37" t="inlineStr">
        <is>
          <t>Dane Covington</t>
        </is>
      </c>
      <c r="E16" s="40" t="n">
        <v>46294</v>
      </c>
      <c r="F16" s="38" t="n">
        <v>7159</v>
      </c>
      <c r="G16" s="37" t="inlineStr">
        <is>
          <t>Self</t>
        </is>
      </c>
      <c r="H16" s="37" t="inlineStr">
        <is>
          <t>Dane Covington</t>
        </is>
      </c>
    </row>
    <row r="17">
      <c r="A17" s="37" t="inlineStr">
        <is>
          <t>James Burdick / 1902 Wilder Ave</t>
        </is>
      </c>
      <c r="B17" s="37" t="inlineStr">
        <is>
          <t>Northern Utah</t>
        </is>
      </c>
      <c r="C17" s="37" t="inlineStr">
        <is>
          <t>Dane Covington</t>
        </is>
      </c>
      <c r="D17" s="37" t="inlineStr">
        <is>
          <t>Dane Covington</t>
        </is>
      </c>
      <c r="E17" s="40" t="n">
        <v>46278</v>
      </c>
      <c r="F17" s="38" t="n">
        <v>4760</v>
      </c>
      <c r="G17" s="37" t="inlineStr">
        <is>
          <t>Self</t>
        </is>
      </c>
      <c r="H17" s="37" t="inlineStr">
        <is>
          <t>Dane Covington</t>
        </is>
      </c>
    </row>
    <row r="18">
      <c r="A18" s="17" t="inlineStr">
        <is>
          <t>Celeste Webb / 391 Hillcrest Way</t>
        </is>
      </c>
      <c r="B18" s="17" t="inlineStr">
        <is>
          <t>Northern Utah</t>
        </is>
      </c>
      <c r="C18" s="17" t="inlineStr">
        <is>
          <t>Cade Covington</t>
        </is>
      </c>
      <c r="D18" s="17" t="inlineStr">
        <is>
          <t>Dane Covington</t>
        </is>
      </c>
      <c r="E18" s="33" t="n">
        <v>46269</v>
      </c>
      <c r="F18" s="18" t="n">
        <v>12348</v>
      </c>
      <c r="G18" s="17" t="inlineStr">
        <is>
          <t>Level 1</t>
        </is>
      </c>
      <c r="H18" s="17" t="inlineStr">
        <is>
          <t>Cade Covington</t>
        </is>
      </c>
    </row>
    <row r="19">
      <c r="A19" s="23" t="inlineStr">
        <is>
          <t>Joshua Fraley / 3825 Remington St</t>
        </is>
      </c>
      <c r="B19" s="23" t="inlineStr">
        <is>
          <t>Northern Utah</t>
        </is>
      </c>
      <c r="C19" s="23" t="inlineStr">
        <is>
          <t>Isabella Basanta</t>
        </is>
      </c>
      <c r="D19" s="23" t="inlineStr">
        <is>
          <t>Dane Covington</t>
        </is>
      </c>
      <c r="E19" s="35" t="n">
        <v>46284</v>
      </c>
      <c r="F19" s="24" t="n">
        <v>19718</v>
      </c>
      <c r="G19" s="23" t="inlineStr">
        <is>
          <t>Level 3</t>
        </is>
      </c>
      <c r="H19" s="23" t="inlineStr">
        <is>
          <t>Isabella Basanta</t>
        </is>
      </c>
    </row>
    <row r="20">
      <c r="A20" s="23" t="inlineStr">
        <is>
          <t>Terence Meagher / 622 Mill Rd</t>
        </is>
      </c>
      <c r="B20" s="23" t="inlineStr">
        <is>
          <t>Northern Utah</t>
        </is>
      </c>
      <c r="C20" s="23" t="inlineStr">
        <is>
          <t>Isabella Basanta</t>
        </is>
      </c>
      <c r="D20" s="23" t="inlineStr">
        <is>
          <t>Kerrigan Simpson</t>
        </is>
      </c>
      <c r="E20" s="35" t="n">
        <v>46286</v>
      </c>
      <c r="F20" s="24" t="n">
        <v>17811</v>
      </c>
      <c r="G20" s="23" t="inlineStr">
        <is>
          <t>Level 3</t>
        </is>
      </c>
      <c r="H20" s="23" t="inlineStr">
        <is>
          <t>Isabella Basanta</t>
        </is>
      </c>
    </row>
    <row r="21">
      <c r="A21" s="23" t="inlineStr">
        <is>
          <t>Nicholas Hamm / 4432 Red Fox Dr</t>
        </is>
      </c>
      <c r="B21" s="23" t="inlineStr">
        <is>
          <t>Northern Utah</t>
        </is>
      </c>
      <c r="C21" s="23" t="inlineStr">
        <is>
          <t>Isabella Basanta</t>
        </is>
      </c>
      <c r="D21" s="23" t="inlineStr">
        <is>
          <t>Carl Crosland</t>
        </is>
      </c>
      <c r="E21" s="35" t="n">
        <v>46281</v>
      </c>
      <c r="F21" s="24" t="n">
        <v>16938</v>
      </c>
      <c r="G21" s="23" t="inlineStr">
        <is>
          <t>Level 3</t>
        </is>
      </c>
      <c r="H21" s="23" t="inlineStr">
        <is>
          <t>Isabella Basanta</t>
        </is>
      </c>
    </row>
    <row r="22">
      <c r="A22" s="23" t="inlineStr">
        <is>
          <t>Rachel Bond / 4330 Cougar Dr</t>
        </is>
      </c>
      <c r="B22" s="23" t="inlineStr">
        <is>
          <t>Northern Utah</t>
        </is>
      </c>
      <c r="C22" s="23" t="inlineStr">
        <is>
          <t>Isabella Basanta</t>
        </is>
      </c>
      <c r="D22" s="23" t="inlineStr">
        <is>
          <t>Carl Crosland</t>
        </is>
      </c>
      <c r="E22" s="35" t="n">
        <v>46280</v>
      </c>
      <c r="F22" s="24" t="n">
        <v>13026</v>
      </c>
      <c r="G22" s="23" t="inlineStr">
        <is>
          <t>Level 3</t>
        </is>
      </c>
      <c r="H22" s="23" t="inlineStr">
        <is>
          <t>Isabella Basanta</t>
        </is>
      </c>
    </row>
    <row r="23">
      <c r="A23" s="23" t="inlineStr">
        <is>
          <t>Marshall Peterson / 2635 Sundance Dr</t>
        </is>
      </c>
      <c r="B23" s="23" t="inlineStr">
        <is>
          <t>Northern Utah</t>
        </is>
      </c>
      <c r="C23" s="23" t="inlineStr">
        <is>
          <t>Isabella Basanta</t>
        </is>
      </c>
      <c r="D23" s="23" t="inlineStr">
        <is>
          <t>Dane Covington</t>
        </is>
      </c>
      <c r="E23" s="35" t="n">
        <v>46282</v>
      </c>
      <c r="F23" s="24" t="n">
        <v>6121</v>
      </c>
      <c r="G23" s="23" t="inlineStr">
        <is>
          <t>Level 3</t>
        </is>
      </c>
      <c r="H23" s="23" t="inlineStr">
        <is>
          <t>Isabella Basanta</t>
        </is>
      </c>
    </row>
    <row r="24">
      <c r="A24" s="23" t="inlineStr">
        <is>
          <t>Mario Ricardo Torres Laboriel / 636 E 300 N</t>
        </is>
      </c>
      <c r="B24" s="23" t="inlineStr">
        <is>
          <t>Northern Utah</t>
        </is>
      </c>
      <c r="C24" s="23" t="inlineStr">
        <is>
          <t>Isabella Basanta</t>
        </is>
      </c>
      <c r="D24" s="23" t="inlineStr">
        <is>
          <t>Terry Xanthos</t>
        </is>
      </c>
      <c r="E24" s="35" t="n">
        <v>46295</v>
      </c>
      <c r="F24" s="24" t="n">
        <v>3534</v>
      </c>
      <c r="G24" s="23" t="inlineStr">
        <is>
          <t>Level 3</t>
        </is>
      </c>
      <c r="H24" s="23" t="inlineStr">
        <is>
          <t>Isabella Basanta</t>
        </is>
      </c>
    </row>
    <row r="25">
      <c r="A25" s="29" t="inlineStr">
        <is>
          <t>TOTAL</t>
        </is>
      </c>
      <c r="B25" s="7" t="n"/>
      <c r="C25" s="7" t="n"/>
      <c r="D25" s="7" t="n"/>
      <c r="E25" s="7" t="n"/>
      <c r="F25" s="31">
        <f>SUM(F13:F24)</f>
        <v/>
      </c>
      <c r="G25" s="7" t="n"/>
      <c r="H25" s="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14" customWidth="1" min="5" max="5"/>
    <col width="16" customWidth="1" min="6" max="6"/>
    <col width="15" customWidth="1" min="7" max="7"/>
    <col width="20" customWidth="1" min="8" max="8"/>
  </cols>
  <sheetData>
    <row r="1">
      <c r="A1" s="12" t="inlineStr">
        <is>
          <t>Mavryck Holmgren</t>
        </is>
      </c>
    </row>
    <row r="2">
      <c r="A2" s="13" t="inlineStr">
        <is>
          <t>Total downline revenue (September 2026):</t>
        </is>
      </c>
      <c r="B2" s="14">
        <f>F23</f>
        <v/>
      </c>
    </row>
    <row r="4">
      <c r="A4" s="15" t="inlineStr">
        <is>
          <t>Downline Recruit Breakdown</t>
        </is>
      </c>
    </row>
    <row r="5">
      <c r="A5" s="16" t="inlineStr">
        <is>
          <t>Recruit</t>
        </is>
      </c>
      <c r="B5" s="16" t="inlineStr">
        <is>
          <t>Sales Team</t>
        </is>
      </c>
      <c r="C5" s="16" t="inlineStr">
        <is>
          <t>Level</t>
        </is>
      </c>
      <c r="D5" s="16" t="inlineStr">
        <is>
          <t>Recruited By</t>
        </is>
      </c>
      <c r="E5" s="16" t="inlineStr">
        <is>
          <t>Deals</t>
        </is>
      </c>
      <c r="F5" s="16" t="inlineStr">
        <is>
          <t>Revenue</t>
        </is>
      </c>
      <c r="G5" s="16" t="inlineStr">
        <is>
          <t>% of Total</t>
        </is>
      </c>
    </row>
    <row r="6">
      <c r="A6" s="17" t="inlineStr">
        <is>
          <t>Zach Lemon</t>
        </is>
      </c>
      <c r="B6" s="17" t="inlineStr">
        <is>
          <t>Eastern Idaho</t>
        </is>
      </c>
      <c r="C6" s="17" t="inlineStr">
        <is>
          <t>Level 1</t>
        </is>
      </c>
      <c r="D6" s="17" t="inlineStr">
        <is>
          <t>Mavryck Holmgren</t>
        </is>
      </c>
      <c r="E6" s="17">
        <f>COUNTIF($H$15:$H$22,A6)</f>
        <v/>
      </c>
      <c r="F6" s="18">
        <f>SUMIF($H$15:$H$22,A6,$F$15:$F$22)</f>
        <v/>
      </c>
      <c r="G6" s="19">
        <f>IF($F$23=0,0,F6/$F$23)</f>
        <v/>
      </c>
    </row>
    <row r="7">
      <c r="A7" s="17" t="inlineStr">
        <is>
          <t>Kerrigan Simpson</t>
        </is>
      </c>
      <c r="B7" s="17" t="inlineStr">
        <is>
          <t>Eastern Idaho</t>
        </is>
      </c>
      <c r="C7" s="17" t="inlineStr">
        <is>
          <t>Level 1</t>
        </is>
      </c>
      <c r="D7" s="17" t="inlineStr">
        <is>
          <t>Mavryck Holmgren</t>
        </is>
      </c>
      <c r="E7" s="17">
        <f>COUNTIF($H$15:$H$22,A7)</f>
        <v/>
      </c>
      <c r="F7" s="18">
        <f>SUMIF($H$15:$H$22,A7,$F$15:$F$22)</f>
        <v/>
      </c>
      <c r="G7" s="19">
        <f>IF($F$23=0,0,F7/$F$23)</f>
        <v/>
      </c>
    </row>
    <row r="8">
      <c r="A8" s="17" t="inlineStr">
        <is>
          <t>Giancarlo Stoffels</t>
        </is>
      </c>
      <c r="B8" s="17" t="inlineStr">
        <is>
          <t>Southern Utah</t>
        </is>
      </c>
      <c r="C8" s="17" t="inlineStr">
        <is>
          <t>Level 1</t>
        </is>
      </c>
      <c r="D8" s="17" t="inlineStr">
        <is>
          <t>Mavryck Holmgren</t>
        </is>
      </c>
      <c r="E8" s="17">
        <f>COUNTIF($H$15:$H$22,A8)</f>
        <v/>
      </c>
      <c r="F8" s="18">
        <f>SUMIF($H$15:$H$22,A8,$F$15:$F$22)</f>
        <v/>
      </c>
      <c r="G8" s="19">
        <f>IF($F$23=0,0,F8/$F$23)</f>
        <v/>
      </c>
    </row>
    <row r="9">
      <c r="A9" s="17" t="inlineStr">
        <is>
          <t>Travis Dykman</t>
        </is>
      </c>
      <c r="B9" s="17" t="inlineStr">
        <is>
          <t>Eastern Idaho</t>
        </is>
      </c>
      <c r="C9" s="17" t="inlineStr">
        <is>
          <t>Level 1</t>
        </is>
      </c>
      <c r="D9" s="17" t="inlineStr">
        <is>
          <t>Mavryck Holmgren</t>
        </is>
      </c>
      <c r="E9" s="17">
        <f>COUNTIF($H$15:$H$22,A9)</f>
        <v/>
      </c>
      <c r="F9" s="18">
        <f>SUMIF($H$15:$H$22,A9,$F$15:$F$22)</f>
        <v/>
      </c>
      <c r="G9" s="19">
        <f>IF($F$23=0,0,F9/$F$23)</f>
        <v/>
      </c>
    </row>
    <row r="10">
      <c r="A10" s="20" t="inlineStr">
        <is>
          <t>Lane Coffey</t>
        </is>
      </c>
      <c r="B10" s="20" t="inlineStr">
        <is>
          <t>Eastern Idaho</t>
        </is>
      </c>
      <c r="C10" s="20" t="inlineStr">
        <is>
          <t>Level 2</t>
        </is>
      </c>
      <c r="D10" s="20" t="inlineStr">
        <is>
          <t>Kerrigan Simpson</t>
        </is>
      </c>
      <c r="E10" s="20">
        <f>COUNTIF($H$15:$H$22,A10)</f>
        <v/>
      </c>
      <c r="F10" s="21">
        <f>SUMIF($H$15:$H$22,A10,$F$15:$F$22)</f>
        <v/>
      </c>
      <c r="G10" s="22">
        <f>IF($F$23=0,0,F10/$F$23)</f>
        <v/>
      </c>
    </row>
    <row r="11">
      <c r="A11" s="29" t="inlineStr">
        <is>
          <t>TOTAL</t>
        </is>
      </c>
      <c r="B11" s="7" t="n"/>
      <c r="C11" s="7" t="n"/>
      <c r="D11" s="7" t="n"/>
      <c r="E11" s="30">
        <f>SUM(E6:E10)</f>
        <v/>
      </c>
      <c r="F11" s="31">
        <f>SUM(F6:F10)</f>
        <v/>
      </c>
      <c r="G11" s="32">
        <f>SUM(G6:G10)</f>
        <v/>
      </c>
    </row>
    <row r="13">
      <c r="A13" s="15" t="inlineStr">
        <is>
          <t>Opportunities</t>
        </is>
      </c>
    </row>
    <row r="14">
      <c r="A14" s="16" t="inlineStr">
        <is>
          <t>Opportunity</t>
        </is>
      </c>
      <c r="B14" s="16" t="inlineStr">
        <is>
          <t>Sales Team</t>
        </is>
      </c>
      <c r="C14" s="16" t="inlineStr">
        <is>
          <t>Canvasser</t>
        </is>
      </c>
      <c r="D14" s="16" t="inlineStr">
        <is>
          <t>Closer</t>
        </is>
      </c>
      <c r="E14" s="16" t="inlineStr">
        <is>
          <t>Closing Date</t>
        </is>
      </c>
      <c r="F14" s="16" t="inlineStr">
        <is>
          <t>Contract Value</t>
        </is>
      </c>
      <c r="G14" s="16" t="inlineStr">
        <is>
          <t>Downline</t>
        </is>
      </c>
      <c r="H14" s="16" t="inlineStr">
        <is>
          <t>Credited Via</t>
        </is>
      </c>
    </row>
    <row r="15">
      <c r="A15" s="17" t="inlineStr">
        <is>
          <t>Anna Hewitt / 1301 46th Ave NE</t>
        </is>
      </c>
      <c r="B15" s="17" t="inlineStr">
        <is>
          <t>Eastern Idaho</t>
        </is>
      </c>
      <c r="C15" s="17" t="inlineStr">
        <is>
          <t>Zach Lemon</t>
        </is>
      </c>
      <c r="D15" s="17" t="inlineStr">
        <is>
          <t>Nick Brown</t>
        </is>
      </c>
      <c r="E15" s="33" t="n">
        <v>46291</v>
      </c>
      <c r="F15" s="18" t="n">
        <v>48464</v>
      </c>
      <c r="G15" s="17" t="inlineStr">
        <is>
          <t>Level 1</t>
        </is>
      </c>
      <c r="H15" s="17" t="inlineStr">
        <is>
          <t>Zach Lemon</t>
        </is>
      </c>
    </row>
    <row r="16">
      <c r="A16" s="17" t="inlineStr">
        <is>
          <t>Milton Johns / 2436 Haw Creek Blvd</t>
        </is>
      </c>
      <c r="B16" s="17" t="inlineStr">
        <is>
          <t>Eastern Idaho</t>
        </is>
      </c>
      <c r="C16" s="17" t="inlineStr">
        <is>
          <t>Kerrigan Simpson</t>
        </is>
      </c>
      <c r="D16" s="17" t="inlineStr">
        <is>
          <t>Kerrigan Simpson</t>
        </is>
      </c>
      <c r="E16" s="33" t="n">
        <v>46267</v>
      </c>
      <c r="F16" s="18" t="n">
        <v>30009</v>
      </c>
      <c r="G16" s="17" t="inlineStr">
        <is>
          <t>Level 1</t>
        </is>
      </c>
      <c r="H16" s="17" t="inlineStr">
        <is>
          <t>Kerrigan Simpson</t>
        </is>
      </c>
    </row>
    <row r="17">
      <c r="A17" s="17" t="inlineStr">
        <is>
          <t>Darrell &amp; Maggie Phillips / 2220 Pintura Dr</t>
        </is>
      </c>
      <c r="B17" s="17" t="inlineStr">
        <is>
          <t>Southern Utah</t>
        </is>
      </c>
      <c r="C17" s="17" t="inlineStr">
        <is>
          <t>Giancarlo Stoffels</t>
        </is>
      </c>
      <c r="D17" s="17" t="inlineStr">
        <is>
          <t>Jordan Naylor</t>
        </is>
      </c>
      <c r="E17" s="33" t="n">
        <v>46274</v>
      </c>
      <c r="F17" s="18" t="n">
        <v>15902</v>
      </c>
      <c r="G17" s="17" t="inlineStr">
        <is>
          <t>Level 1</t>
        </is>
      </c>
      <c r="H17" s="17" t="inlineStr">
        <is>
          <t>Giancarlo Stoffels</t>
        </is>
      </c>
    </row>
    <row r="18">
      <c r="A18" s="17" t="inlineStr">
        <is>
          <t>Dana Boylan / 2740 Ancabide Ln</t>
        </is>
      </c>
      <c r="B18" s="17" t="inlineStr">
        <is>
          <t>Eastern Idaho</t>
        </is>
      </c>
      <c r="C18" s="17" t="inlineStr">
        <is>
          <t>Kerrigan Simpson</t>
        </is>
      </c>
      <c r="D18" s="17" t="inlineStr">
        <is>
          <t>Kerrigan Simpson</t>
        </is>
      </c>
      <c r="E18" s="33" t="n">
        <v>46275</v>
      </c>
      <c r="F18" s="18" t="n">
        <v>15898</v>
      </c>
      <c r="G18" s="17" t="inlineStr">
        <is>
          <t>Level 1</t>
        </is>
      </c>
      <c r="H18" s="17" t="inlineStr">
        <is>
          <t>Kerrigan Simpson</t>
        </is>
      </c>
    </row>
    <row r="19">
      <c r="A19" s="17" t="inlineStr">
        <is>
          <t>Joy Hepworth / 131 Willard Ave</t>
        </is>
      </c>
      <c r="B19" s="17" t="inlineStr">
        <is>
          <t>Eastern Idaho</t>
        </is>
      </c>
      <c r="C19" s="17" t="inlineStr">
        <is>
          <t>Travis Dykman</t>
        </is>
      </c>
      <c r="D19" s="17" t="inlineStr">
        <is>
          <t>Nick Brown</t>
        </is>
      </c>
      <c r="E19" s="33" t="n">
        <v>46275</v>
      </c>
      <c r="F19" s="18" t="n">
        <v>12935</v>
      </c>
      <c r="G19" s="17" t="inlineStr">
        <is>
          <t>Level 1</t>
        </is>
      </c>
      <c r="H19" s="17" t="inlineStr">
        <is>
          <t>Travis Dykman</t>
        </is>
      </c>
    </row>
    <row r="20">
      <c r="A20" s="20" t="inlineStr">
        <is>
          <t>Christine Warner / 121 Dallas St</t>
        </is>
      </c>
      <c r="B20" s="20" t="inlineStr">
        <is>
          <t>Eastern Idaho</t>
        </is>
      </c>
      <c r="C20" s="20" t="inlineStr">
        <is>
          <t>Lane Coffey</t>
        </is>
      </c>
      <c r="D20" s="20" t="inlineStr">
        <is>
          <t>Kerrigan Simpson</t>
        </is>
      </c>
      <c r="E20" s="34" t="n">
        <v>46276</v>
      </c>
      <c r="F20" s="21" t="n">
        <v>17633</v>
      </c>
      <c r="G20" s="20" t="inlineStr">
        <is>
          <t>Level 2</t>
        </is>
      </c>
      <c r="H20" s="20" t="inlineStr">
        <is>
          <t>Lane Coffey</t>
        </is>
      </c>
    </row>
    <row r="21">
      <c r="A21" s="20" t="inlineStr">
        <is>
          <t>Dennis Vaillancourt / 212 Pine St</t>
        </is>
      </c>
      <c r="B21" s="20" t="inlineStr">
        <is>
          <t>Eastern Idaho</t>
        </is>
      </c>
      <c r="C21" s="20" t="inlineStr">
        <is>
          <t>Lane Coffey</t>
        </is>
      </c>
      <c r="D21" s="20" t="inlineStr">
        <is>
          <t>Kerrigan Simpson</t>
        </is>
      </c>
      <c r="E21" s="34" t="n">
        <v>46277</v>
      </c>
      <c r="F21" s="21" t="n">
        <v>7519</v>
      </c>
      <c r="G21" s="20" t="inlineStr">
        <is>
          <t>Level 2</t>
        </is>
      </c>
      <c r="H21" s="20" t="inlineStr">
        <is>
          <t>Lane Coffey</t>
        </is>
      </c>
    </row>
    <row r="22">
      <c r="A22" s="20" t="inlineStr">
        <is>
          <t>Anita/Rayne Klein / 151 Cove Ln</t>
        </is>
      </c>
      <c r="B22" s="20" t="inlineStr">
        <is>
          <t>Eastern Idaho</t>
        </is>
      </c>
      <c r="C22" s="20" t="inlineStr">
        <is>
          <t>Lane Coffey</t>
        </is>
      </c>
      <c r="D22" s="20" t="inlineStr">
        <is>
          <t>Kerrigan Simpson</t>
        </is>
      </c>
      <c r="E22" s="34" t="n">
        <v>46291</v>
      </c>
      <c r="F22" s="21" t="n">
        <v>6686</v>
      </c>
      <c r="G22" s="20" t="inlineStr">
        <is>
          <t>Level 2</t>
        </is>
      </c>
      <c r="H22" s="20" t="inlineStr">
        <is>
          <t>Lane Coffey</t>
        </is>
      </c>
    </row>
    <row r="23">
      <c r="A23" s="29" t="inlineStr">
        <is>
          <t>TOTAL</t>
        </is>
      </c>
      <c r="B23" s="7" t="n"/>
      <c r="C23" s="7" t="n"/>
      <c r="D23" s="7" t="n"/>
      <c r="E23" s="7" t="n"/>
      <c r="F23" s="31">
        <f>SUM(F15:F22)</f>
        <v/>
      </c>
      <c r="G23" s="7" t="n"/>
      <c r="H23" s="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14" customWidth="1" min="5" max="5"/>
    <col width="16" customWidth="1" min="6" max="6"/>
    <col width="15" customWidth="1" min="7" max="7"/>
    <col width="20" customWidth="1" min="8" max="8"/>
  </cols>
  <sheetData>
    <row r="1">
      <c r="A1" s="12" t="inlineStr">
        <is>
          <t>Todd Hess</t>
        </is>
      </c>
    </row>
    <row r="2">
      <c r="A2" s="13" t="inlineStr">
        <is>
          <t>Total downline revenue (September 2026):</t>
        </is>
      </c>
      <c r="B2" s="14">
        <f>F21</f>
        <v/>
      </c>
    </row>
    <row r="4">
      <c r="A4" s="15" t="inlineStr">
        <is>
          <t>Downline Recruit Breakdown</t>
        </is>
      </c>
    </row>
    <row r="5">
      <c r="A5" s="16" t="inlineStr">
        <is>
          <t>Recruit</t>
        </is>
      </c>
      <c r="B5" s="16" t="inlineStr">
        <is>
          <t>Sales Team</t>
        </is>
      </c>
      <c r="C5" s="16" t="inlineStr">
        <is>
          <t>Level</t>
        </is>
      </c>
      <c r="D5" s="16" t="inlineStr">
        <is>
          <t>Recruited By</t>
        </is>
      </c>
      <c r="E5" s="16" t="inlineStr">
        <is>
          <t>Deals</t>
        </is>
      </c>
      <c r="F5" s="16" t="inlineStr">
        <is>
          <t>Revenue</t>
        </is>
      </c>
      <c r="G5" s="16" t="inlineStr">
        <is>
          <t>% of Total</t>
        </is>
      </c>
    </row>
    <row r="6">
      <c r="A6" s="37" t="inlineStr">
        <is>
          <t>Todd Hess</t>
        </is>
      </c>
      <c r="B6" s="37" t="inlineStr">
        <is>
          <t>Northern Utah</t>
        </is>
      </c>
      <c r="C6" s="37" t="inlineStr">
        <is>
          <t>Self</t>
        </is>
      </c>
      <c r="D6" s="37" t="inlineStr"/>
      <c r="E6" s="37">
        <f>COUNTIF($H$12:$H$20,A6)</f>
        <v/>
      </c>
      <c r="F6" s="38">
        <f>SUMIF($H$12:$H$20,A6,$F$12:$F$20)</f>
        <v/>
      </c>
      <c r="G6" s="39">
        <f>IF($F$21=0,0,F6/$F$21)</f>
        <v/>
      </c>
    </row>
    <row r="7">
      <c r="A7" s="17" t="inlineStr">
        <is>
          <t>Shawn Harding</t>
        </is>
      </c>
      <c r="B7" s="17" t="inlineStr">
        <is>
          <t>Northern Utah</t>
        </is>
      </c>
      <c r="C7" s="17" t="inlineStr">
        <is>
          <t>Level 1</t>
        </is>
      </c>
      <c r="D7" s="17" t="inlineStr">
        <is>
          <t>Todd Hess</t>
        </is>
      </c>
      <c r="E7" s="17">
        <f>COUNTIF($H$12:$H$20,A7)</f>
        <v/>
      </c>
      <c r="F7" s="18">
        <f>SUMIF($H$12:$H$20,A7,$F$12:$F$20)</f>
        <v/>
      </c>
      <c r="G7" s="19">
        <f>IF($F$21=0,0,F7/$F$21)</f>
        <v/>
      </c>
    </row>
    <row r="8">
      <c r="A8" s="29" t="inlineStr">
        <is>
          <t>TOTAL</t>
        </is>
      </c>
      <c r="B8" s="7" t="n"/>
      <c r="C8" s="7" t="n"/>
      <c r="D8" s="7" t="n"/>
      <c r="E8" s="30">
        <f>SUM(E6:E7)</f>
        <v/>
      </c>
      <c r="F8" s="31">
        <f>SUM(F6:F7)</f>
        <v/>
      </c>
      <c r="G8" s="32">
        <f>SUM(G6:G7)</f>
        <v/>
      </c>
    </row>
    <row r="10">
      <c r="A10" s="15" t="inlineStr">
        <is>
          <t>Opportunities</t>
        </is>
      </c>
    </row>
    <row r="11">
      <c r="A11" s="16" t="inlineStr">
        <is>
          <t>Opportunity</t>
        </is>
      </c>
      <c r="B11" s="16" t="inlineStr">
        <is>
          <t>Sales Team</t>
        </is>
      </c>
      <c r="C11" s="16" t="inlineStr">
        <is>
          <t>Canvasser</t>
        </is>
      </c>
      <c r="D11" s="16" t="inlineStr">
        <is>
          <t>Closer</t>
        </is>
      </c>
      <c r="E11" s="16" t="inlineStr">
        <is>
          <t>Closing Date</t>
        </is>
      </c>
      <c r="F11" s="16" t="inlineStr">
        <is>
          <t>Contract Value</t>
        </is>
      </c>
      <c r="G11" s="16" t="inlineStr">
        <is>
          <t>Downline</t>
        </is>
      </c>
      <c r="H11" s="16" t="inlineStr">
        <is>
          <t>Credited Via</t>
        </is>
      </c>
    </row>
    <row r="12">
      <c r="A12" s="37" t="inlineStr">
        <is>
          <t>Carroll Benjamin / 606 E Groschell St</t>
        </is>
      </c>
      <c r="B12" s="37" t="inlineStr">
        <is>
          <t>Northern Utah</t>
        </is>
      </c>
      <c r="C12" s="37" t="inlineStr">
        <is>
          <t>Todd Hess</t>
        </is>
      </c>
      <c r="D12" s="37" t="inlineStr">
        <is>
          <t>Todd Hess</t>
        </is>
      </c>
      <c r="E12" s="40" t="n">
        <v>46270</v>
      </c>
      <c r="F12" s="38" t="n">
        <v>21582</v>
      </c>
      <c r="G12" s="37" t="inlineStr">
        <is>
          <t>Self</t>
        </is>
      </c>
      <c r="H12" s="37" t="inlineStr">
        <is>
          <t>Todd Hess</t>
        </is>
      </c>
    </row>
    <row r="13">
      <c r="A13" s="37" t="inlineStr">
        <is>
          <t>Denise Gjerde / 411 W Riggs St</t>
        </is>
      </c>
      <c r="B13" s="37" t="inlineStr">
        <is>
          <t>Northern Utah</t>
        </is>
      </c>
      <c r="C13" s="37" t="inlineStr">
        <is>
          <t>Todd Hess</t>
        </is>
      </c>
      <c r="D13" s="37" t="inlineStr">
        <is>
          <t>Todd Hess</t>
        </is>
      </c>
      <c r="E13" s="40" t="n">
        <v>46271</v>
      </c>
      <c r="F13" s="38" t="n">
        <v>16157</v>
      </c>
      <c r="G13" s="37" t="inlineStr">
        <is>
          <t>Self</t>
        </is>
      </c>
      <c r="H13" s="37" t="inlineStr">
        <is>
          <t>Todd Hess</t>
        </is>
      </c>
    </row>
    <row r="14">
      <c r="A14" s="17" t="inlineStr">
        <is>
          <t>Timothy Broadbrooks / 3472 Ayden Rd</t>
        </is>
      </c>
      <c r="B14" s="17" t="inlineStr">
        <is>
          <t>Northern Utah</t>
        </is>
      </c>
      <c r="C14" s="17" t="inlineStr">
        <is>
          <t>Shawn Harding</t>
        </is>
      </c>
      <c r="D14" s="17" t="inlineStr">
        <is>
          <t>Todd Hess</t>
        </is>
      </c>
      <c r="E14" s="33" t="n">
        <v>46279</v>
      </c>
      <c r="F14" s="18" t="n">
        <v>20247</v>
      </c>
      <c r="G14" s="17" t="inlineStr">
        <is>
          <t>Level 1</t>
        </is>
      </c>
      <c r="H14" s="17" t="inlineStr">
        <is>
          <t>Shawn Harding</t>
        </is>
      </c>
    </row>
    <row r="15">
      <c r="A15" s="17" t="inlineStr">
        <is>
          <t>Chad Guymon / 3755 Pioneer Park Dr</t>
        </is>
      </c>
      <c r="B15" s="17" t="inlineStr">
        <is>
          <t>Northern Utah</t>
        </is>
      </c>
      <c r="C15" s="17" t="inlineStr">
        <is>
          <t>Shawn Harding</t>
        </is>
      </c>
      <c r="D15" s="17" t="inlineStr">
        <is>
          <t>Todd Hess</t>
        </is>
      </c>
      <c r="E15" s="33" t="n">
        <v>46280</v>
      </c>
      <c r="F15" s="18" t="n">
        <v>16393</v>
      </c>
      <c r="G15" s="17" t="inlineStr">
        <is>
          <t>Level 1</t>
        </is>
      </c>
      <c r="H15" s="17" t="inlineStr">
        <is>
          <t>Shawn Harding</t>
        </is>
      </c>
    </row>
    <row r="16">
      <c r="A16" s="17" t="inlineStr">
        <is>
          <t>Jason Brenna / 703 E Riggs St</t>
        </is>
      </c>
      <c r="B16" s="17" t="inlineStr">
        <is>
          <t>Northern Utah</t>
        </is>
      </c>
      <c r="C16" s="17" t="inlineStr">
        <is>
          <t>Shawn Harding</t>
        </is>
      </c>
      <c r="D16" s="17" t="inlineStr">
        <is>
          <t>Todd Hess</t>
        </is>
      </c>
      <c r="E16" s="33" t="n">
        <v>46282</v>
      </c>
      <c r="F16" s="18" t="n">
        <v>15992</v>
      </c>
      <c r="G16" s="17" t="inlineStr">
        <is>
          <t>Level 1</t>
        </is>
      </c>
      <c r="H16" s="17" t="inlineStr">
        <is>
          <t>Shawn Harding</t>
        </is>
      </c>
    </row>
    <row r="17">
      <c r="A17" s="17" t="inlineStr">
        <is>
          <t>Kathy Jacobsen / 3220 Rocky Rd</t>
        </is>
      </c>
      <c r="B17" s="17" t="inlineStr">
        <is>
          <t>Northern Utah</t>
        </is>
      </c>
      <c r="C17" s="17" t="inlineStr">
        <is>
          <t>Shawn Harding</t>
        </is>
      </c>
      <c r="D17" s="17" t="inlineStr">
        <is>
          <t>Todd Hess</t>
        </is>
      </c>
      <c r="E17" s="33" t="n">
        <v>46283</v>
      </c>
      <c r="F17" s="18" t="n">
        <v>13219</v>
      </c>
      <c r="G17" s="17" t="inlineStr">
        <is>
          <t>Level 1</t>
        </is>
      </c>
      <c r="H17" s="17" t="inlineStr">
        <is>
          <t>Shawn Harding</t>
        </is>
      </c>
    </row>
    <row r="18">
      <c r="A18" s="17" t="inlineStr">
        <is>
          <t>Karen O'Donnell / 3216 Harness Loop</t>
        </is>
      </c>
      <c r="B18" s="17" t="inlineStr">
        <is>
          <t>Northern Utah</t>
        </is>
      </c>
      <c r="C18" s="17" t="inlineStr">
        <is>
          <t>Shawn Harding</t>
        </is>
      </c>
      <c r="D18" s="17" t="inlineStr">
        <is>
          <t>Todd Hess</t>
        </is>
      </c>
      <c r="E18" s="33" t="n">
        <v>46280</v>
      </c>
      <c r="F18" s="18" t="n">
        <v>11229</v>
      </c>
      <c r="G18" s="17" t="inlineStr">
        <is>
          <t>Level 1</t>
        </is>
      </c>
      <c r="H18" s="17" t="inlineStr">
        <is>
          <t>Shawn Harding</t>
        </is>
      </c>
    </row>
    <row r="19">
      <c r="A19" s="17" t="inlineStr">
        <is>
          <t>Donald Nicholls / 2505 N 6900 W</t>
        </is>
      </c>
      <c r="B19" s="17" t="inlineStr">
        <is>
          <t>Northern Utah</t>
        </is>
      </c>
      <c r="C19" s="17" t="inlineStr">
        <is>
          <t>Shawn Harding</t>
        </is>
      </c>
      <c r="D19" s="17" t="inlineStr">
        <is>
          <t>Todd Hess</t>
        </is>
      </c>
      <c r="E19" s="33" t="n">
        <v>46295</v>
      </c>
      <c r="F19" s="18" t="n">
        <v>9038</v>
      </c>
      <c r="G19" s="17" t="inlineStr">
        <is>
          <t>Level 1</t>
        </is>
      </c>
      <c r="H19" s="17" t="inlineStr">
        <is>
          <t>Shawn Harding</t>
        </is>
      </c>
    </row>
    <row r="20">
      <c r="A20" s="17" t="inlineStr">
        <is>
          <t>Jennifer Listerud / 3243 Harness Loop</t>
        </is>
      </c>
      <c r="B20" s="17" t="inlineStr">
        <is>
          <t>Northern Utah</t>
        </is>
      </c>
      <c r="C20" s="17" t="inlineStr">
        <is>
          <t>Shawn Harding</t>
        </is>
      </c>
      <c r="D20" s="17" t="inlineStr">
        <is>
          <t>Dane Covington</t>
        </is>
      </c>
      <c r="E20" s="33" t="n">
        <v>46280</v>
      </c>
      <c r="F20" s="18" t="n">
        <v>5920</v>
      </c>
      <c r="G20" s="17" t="inlineStr">
        <is>
          <t>Level 1</t>
        </is>
      </c>
      <c r="H20" s="17" t="inlineStr">
        <is>
          <t>Shawn Harding</t>
        </is>
      </c>
    </row>
    <row r="21">
      <c r="A21" s="29" t="inlineStr">
        <is>
          <t>TOTAL</t>
        </is>
      </c>
      <c r="B21" s="7" t="n"/>
      <c r="C21" s="7" t="n"/>
      <c r="D21" s="7" t="n"/>
      <c r="E21" s="7" t="n"/>
      <c r="F21" s="31">
        <f>SUM(F12:F20)</f>
        <v/>
      </c>
      <c r="G21" s="7" t="n"/>
      <c r="H21" s="7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14" customWidth="1" min="5" max="5"/>
    <col width="16" customWidth="1" min="6" max="6"/>
    <col width="15" customWidth="1" min="7" max="7"/>
    <col width="20" customWidth="1" min="8" max="8"/>
  </cols>
  <sheetData>
    <row r="1">
      <c r="A1" s="12" t="inlineStr">
        <is>
          <t>Ethan Saxton</t>
        </is>
      </c>
    </row>
    <row r="2">
      <c r="A2" s="13" t="inlineStr">
        <is>
          <t>Total downline revenue (September 2026):</t>
        </is>
      </c>
      <c r="B2" s="14">
        <f>F19</f>
        <v/>
      </c>
    </row>
    <row r="4">
      <c r="A4" s="15" t="inlineStr">
        <is>
          <t>Downline Recruit Breakdown</t>
        </is>
      </c>
    </row>
    <row r="5">
      <c r="A5" s="16" t="inlineStr">
        <is>
          <t>Recruit</t>
        </is>
      </c>
      <c r="B5" s="16" t="inlineStr">
        <is>
          <t>Sales Team</t>
        </is>
      </c>
      <c r="C5" s="16" t="inlineStr">
        <is>
          <t>Level</t>
        </is>
      </c>
      <c r="D5" s="16" t="inlineStr">
        <is>
          <t>Recruited By</t>
        </is>
      </c>
      <c r="E5" s="16" t="inlineStr">
        <is>
          <t>Deals</t>
        </is>
      </c>
      <c r="F5" s="16" t="inlineStr">
        <is>
          <t>Revenue</t>
        </is>
      </c>
      <c r="G5" s="16" t="inlineStr">
        <is>
          <t>% of Total</t>
        </is>
      </c>
    </row>
    <row r="6">
      <c r="A6" s="37" t="inlineStr">
        <is>
          <t>Ethan Saxton</t>
        </is>
      </c>
      <c r="B6" s="37" t="inlineStr">
        <is>
          <t>Southern Utah</t>
        </is>
      </c>
      <c r="C6" s="37" t="inlineStr">
        <is>
          <t>Self</t>
        </is>
      </c>
      <c r="D6" s="37" t="inlineStr"/>
      <c r="E6" s="37">
        <f>COUNTIF($H$12:$H$18,A6)</f>
        <v/>
      </c>
      <c r="F6" s="38">
        <f>SUMIF($H$12:$H$18,A6,$F$12:$F$18)</f>
        <v/>
      </c>
      <c r="G6" s="39">
        <f>IF($F$19=0,0,F6/$F$19)</f>
        <v/>
      </c>
    </row>
    <row r="7">
      <c r="A7" s="17" t="inlineStr">
        <is>
          <t>Camille Gerritsen</t>
        </is>
      </c>
      <c r="B7" s="17" t="inlineStr">
        <is>
          <t>Northern Utah</t>
        </is>
      </c>
      <c r="C7" s="17" t="inlineStr">
        <is>
          <t>Level 1</t>
        </is>
      </c>
      <c r="D7" s="17" t="inlineStr">
        <is>
          <t>Ethan Saxton</t>
        </is>
      </c>
      <c r="E7" s="17">
        <f>COUNTIF($H$12:$H$18,A7)</f>
        <v/>
      </c>
      <c r="F7" s="18">
        <f>SUMIF($H$12:$H$18,A7,$F$12:$F$18)</f>
        <v/>
      </c>
      <c r="G7" s="19">
        <f>IF($F$19=0,0,F7/$F$19)</f>
        <v/>
      </c>
    </row>
    <row r="8">
      <c r="A8" s="29" t="inlineStr">
        <is>
          <t>TOTAL</t>
        </is>
      </c>
      <c r="B8" s="7" t="n"/>
      <c r="C8" s="7" t="n"/>
      <c r="D8" s="7" t="n"/>
      <c r="E8" s="30">
        <f>SUM(E6:E7)</f>
        <v/>
      </c>
      <c r="F8" s="31">
        <f>SUM(F6:F7)</f>
        <v/>
      </c>
      <c r="G8" s="32">
        <f>SUM(G6:G7)</f>
        <v/>
      </c>
    </row>
    <row r="10">
      <c r="A10" s="15" t="inlineStr">
        <is>
          <t>Opportunities</t>
        </is>
      </c>
    </row>
    <row r="11">
      <c r="A11" s="16" t="inlineStr">
        <is>
          <t>Opportunity</t>
        </is>
      </c>
      <c r="B11" s="16" t="inlineStr">
        <is>
          <t>Sales Team</t>
        </is>
      </c>
      <c r="C11" s="16" t="inlineStr">
        <is>
          <t>Canvasser</t>
        </is>
      </c>
      <c r="D11" s="16" t="inlineStr">
        <is>
          <t>Closer</t>
        </is>
      </c>
      <c r="E11" s="16" t="inlineStr">
        <is>
          <t>Closing Date</t>
        </is>
      </c>
      <c r="F11" s="16" t="inlineStr">
        <is>
          <t>Contract Value</t>
        </is>
      </c>
      <c r="G11" s="16" t="inlineStr">
        <is>
          <t>Downline</t>
        </is>
      </c>
      <c r="H11" s="16" t="inlineStr">
        <is>
          <t>Credited Via</t>
        </is>
      </c>
    </row>
    <row r="12">
      <c r="A12" s="37" t="inlineStr">
        <is>
          <t>Maralene Spawn / 1242 Cortez Ave</t>
        </is>
      </c>
      <c r="B12" s="37" t="inlineStr">
        <is>
          <t>Southern Utah</t>
        </is>
      </c>
      <c r="C12" s="37" t="inlineStr">
        <is>
          <t>Ethan Saxton</t>
        </is>
      </c>
      <c r="D12" s="37" t="inlineStr">
        <is>
          <t>Jordan Naylor</t>
        </is>
      </c>
      <c r="E12" s="40" t="n">
        <v>46279</v>
      </c>
      <c r="F12" s="38" t="n">
        <v>15127</v>
      </c>
      <c r="G12" s="37" t="inlineStr">
        <is>
          <t>Self</t>
        </is>
      </c>
      <c r="H12" s="37" t="inlineStr">
        <is>
          <t>Ethan Saxton</t>
        </is>
      </c>
    </row>
    <row r="13">
      <c r="A13" s="37" t="inlineStr">
        <is>
          <t>Darlene Bohl / 1082 Sierra Granda Blvd</t>
        </is>
      </c>
      <c r="B13" s="37" t="inlineStr">
        <is>
          <t>Southern Utah</t>
        </is>
      </c>
      <c r="C13" s="37" t="inlineStr">
        <is>
          <t>Ethan Saxton</t>
        </is>
      </c>
      <c r="D13" s="37" t="inlineStr">
        <is>
          <t>Nathan Lewis</t>
        </is>
      </c>
      <c r="E13" s="40" t="n">
        <v>46282</v>
      </c>
      <c r="F13" s="38" t="n">
        <v>9869</v>
      </c>
      <c r="G13" s="37" t="inlineStr">
        <is>
          <t>Self</t>
        </is>
      </c>
      <c r="H13" s="37" t="inlineStr">
        <is>
          <t>Ethan Saxton</t>
        </is>
      </c>
    </row>
    <row r="14">
      <c r="A14" s="17" t="inlineStr">
        <is>
          <t>Phil Bushilla / 701 Red Letter St</t>
        </is>
      </c>
      <c r="B14" s="17" t="inlineStr">
        <is>
          <t>Northern Utah</t>
        </is>
      </c>
      <c r="C14" s="17" t="inlineStr">
        <is>
          <t>Camille Gerritsen</t>
        </is>
      </c>
      <c r="D14" s="17" t="inlineStr">
        <is>
          <t>Carl Crosland</t>
        </is>
      </c>
      <c r="E14" s="33" t="n">
        <v>46277</v>
      </c>
      <c r="F14" s="18" t="n">
        <v>25904</v>
      </c>
      <c r="G14" s="17" t="inlineStr">
        <is>
          <t>Level 1</t>
        </is>
      </c>
      <c r="H14" s="17" t="inlineStr">
        <is>
          <t>Camille Gerritsen</t>
        </is>
      </c>
    </row>
    <row r="15">
      <c r="A15" s="17" t="inlineStr">
        <is>
          <t>Brian Morris / 2102 Turmaline Ct</t>
        </is>
      </c>
      <c r="B15" s="17" t="inlineStr">
        <is>
          <t>Northern Utah</t>
        </is>
      </c>
      <c r="C15" s="17" t="inlineStr">
        <is>
          <t>Camille Gerritsen</t>
        </is>
      </c>
      <c r="D15" s="17" t="inlineStr">
        <is>
          <t>Dane Covington</t>
        </is>
      </c>
      <c r="E15" s="33" t="n">
        <v>46279</v>
      </c>
      <c r="F15" s="18" t="n">
        <v>20817</v>
      </c>
      <c r="G15" s="17" t="inlineStr">
        <is>
          <t>Level 1</t>
        </is>
      </c>
      <c r="H15" s="17" t="inlineStr">
        <is>
          <t>Camille Gerritsen</t>
        </is>
      </c>
    </row>
    <row r="16">
      <c r="A16" s="17" t="inlineStr">
        <is>
          <t>Travis Groberg / 313 Emerson Ave</t>
        </is>
      </c>
      <c r="B16" s="17" t="inlineStr">
        <is>
          <t>Northern Utah</t>
        </is>
      </c>
      <c r="C16" s="17" t="inlineStr">
        <is>
          <t>Camille Gerritsen</t>
        </is>
      </c>
      <c r="D16" s="17" t="inlineStr">
        <is>
          <t>Dane Covington</t>
        </is>
      </c>
      <c r="E16" s="33" t="n">
        <v>46270</v>
      </c>
      <c r="F16" s="18" t="n">
        <v>11519</v>
      </c>
      <c r="G16" s="17" t="inlineStr">
        <is>
          <t>Level 1</t>
        </is>
      </c>
      <c r="H16" s="17" t="inlineStr">
        <is>
          <t>Camille Gerritsen</t>
        </is>
      </c>
    </row>
    <row r="17">
      <c r="A17" s="17" t="inlineStr">
        <is>
          <t>Zoe Bushilla / 2514 Heritage Dr</t>
        </is>
      </c>
      <c r="B17" s="17" t="inlineStr">
        <is>
          <t>Northern Utah</t>
        </is>
      </c>
      <c r="C17" s="17" t="inlineStr">
        <is>
          <t>Camille Gerritsen</t>
        </is>
      </c>
      <c r="D17" s="17" t="inlineStr">
        <is>
          <t>Carl Crosland</t>
        </is>
      </c>
      <c r="E17" s="33" t="n">
        <v>46277</v>
      </c>
      <c r="F17" s="18" t="n">
        <v>10988</v>
      </c>
      <c r="G17" s="17" t="inlineStr">
        <is>
          <t>Level 1</t>
        </is>
      </c>
      <c r="H17" s="17" t="inlineStr">
        <is>
          <t>Camille Gerritsen</t>
        </is>
      </c>
    </row>
    <row r="18">
      <c r="A18" s="17" t="inlineStr">
        <is>
          <t>Kathleenn Koford / 15 S Raleigh St</t>
        </is>
      </c>
      <c r="B18" s="17" t="inlineStr">
        <is>
          <t>Northern Utah</t>
        </is>
      </c>
      <c r="C18" s="17" t="inlineStr">
        <is>
          <t>Camille Gerritsen</t>
        </is>
      </c>
      <c r="D18" s="17" t="inlineStr">
        <is>
          <t>Dane Covington</t>
        </is>
      </c>
      <c r="E18" s="33" t="n">
        <v>46283</v>
      </c>
      <c r="F18" s="18" t="n">
        <v>7448</v>
      </c>
      <c r="G18" s="17" t="inlineStr">
        <is>
          <t>Level 1</t>
        </is>
      </c>
      <c r="H18" s="17" t="inlineStr">
        <is>
          <t>Camille Gerritsen</t>
        </is>
      </c>
    </row>
    <row r="19">
      <c r="A19" s="29" t="inlineStr">
        <is>
          <t>TOTAL</t>
        </is>
      </c>
      <c r="B19" s="7" t="n"/>
      <c r="C19" s="7" t="n"/>
      <c r="D19" s="7" t="n"/>
      <c r="E19" s="7" t="n"/>
      <c r="F19" s="31">
        <f>SUM(F12:F18)</f>
        <v/>
      </c>
      <c r="G19" s="7" t="n"/>
      <c r="H19" s="7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14" customWidth="1" min="5" max="5"/>
    <col width="16" customWidth="1" min="6" max="6"/>
    <col width="15" customWidth="1" min="7" max="7"/>
    <col width="20" customWidth="1" min="8" max="8"/>
  </cols>
  <sheetData>
    <row r="1">
      <c r="A1" s="12" t="inlineStr">
        <is>
          <t>Kimberly Simmerman</t>
        </is>
      </c>
    </row>
    <row r="2">
      <c r="A2" s="13" t="inlineStr">
        <is>
          <t>Total downline revenue (September 2026):</t>
        </is>
      </c>
      <c r="B2" s="14">
        <f>F16</f>
        <v/>
      </c>
    </row>
    <row r="4">
      <c r="A4" s="15" t="inlineStr">
        <is>
          <t>Downline Recruit Breakdown</t>
        </is>
      </c>
    </row>
    <row r="5">
      <c r="A5" s="16" t="inlineStr">
        <is>
          <t>Recruit</t>
        </is>
      </c>
      <c r="B5" s="16" t="inlineStr">
        <is>
          <t>Sales Team</t>
        </is>
      </c>
      <c r="C5" s="16" t="inlineStr">
        <is>
          <t>Level</t>
        </is>
      </c>
      <c r="D5" s="16" t="inlineStr">
        <is>
          <t>Recruited By</t>
        </is>
      </c>
      <c r="E5" s="16" t="inlineStr">
        <is>
          <t>Deals</t>
        </is>
      </c>
      <c r="F5" s="16" t="inlineStr">
        <is>
          <t>Revenue</t>
        </is>
      </c>
      <c r="G5" s="16" t="inlineStr">
        <is>
          <t>% of Total</t>
        </is>
      </c>
    </row>
    <row r="6">
      <c r="A6" s="37" t="inlineStr">
        <is>
          <t>Kimberly Simmerman</t>
        </is>
      </c>
      <c r="B6" s="37" t="inlineStr">
        <is>
          <t>Southern Utah</t>
        </is>
      </c>
      <c r="C6" s="37" t="inlineStr">
        <is>
          <t>Self</t>
        </is>
      </c>
      <c r="D6" s="37" t="inlineStr"/>
      <c r="E6" s="37">
        <f>COUNTIF($H$11:$H$15,A6)</f>
        <v/>
      </c>
      <c r="F6" s="38">
        <f>SUMIF($H$11:$H$15,A6,$F$11:$F$15)</f>
        <v/>
      </c>
      <c r="G6" s="39">
        <f>IF($F$16=0,0,F6/$F$16)</f>
        <v/>
      </c>
    </row>
    <row r="7">
      <c r="A7" s="29" t="inlineStr">
        <is>
          <t>TOTAL</t>
        </is>
      </c>
      <c r="B7" s="7" t="n"/>
      <c r="C7" s="7" t="n"/>
      <c r="D7" s="7" t="n"/>
      <c r="E7" s="30">
        <f>SUM(E6:E6)</f>
        <v/>
      </c>
      <c r="F7" s="31">
        <f>SUM(F6:F6)</f>
        <v/>
      </c>
      <c r="G7" s="32">
        <f>SUM(G6:G6)</f>
        <v/>
      </c>
    </row>
    <row r="9">
      <c r="A9" s="15" t="inlineStr">
        <is>
          <t>Opportunities</t>
        </is>
      </c>
    </row>
    <row r="10">
      <c r="A10" s="16" t="inlineStr">
        <is>
          <t>Opportunity</t>
        </is>
      </c>
      <c r="B10" s="16" t="inlineStr">
        <is>
          <t>Sales Team</t>
        </is>
      </c>
      <c r="C10" s="16" t="inlineStr">
        <is>
          <t>Canvasser</t>
        </is>
      </c>
      <c r="D10" s="16" t="inlineStr">
        <is>
          <t>Closer</t>
        </is>
      </c>
      <c r="E10" s="16" t="inlineStr">
        <is>
          <t>Closing Date</t>
        </is>
      </c>
      <c r="F10" s="16" t="inlineStr">
        <is>
          <t>Contract Value</t>
        </is>
      </c>
      <c r="G10" s="16" t="inlineStr">
        <is>
          <t>Downline</t>
        </is>
      </c>
      <c r="H10" s="16" t="inlineStr">
        <is>
          <t>Credited Via</t>
        </is>
      </c>
    </row>
    <row r="11">
      <c r="A11" s="37" t="inlineStr">
        <is>
          <t>Roger Gold 2 / 12 N Cove Dr</t>
        </is>
      </c>
      <c r="B11" s="37" t="inlineStr">
        <is>
          <t>Southern Utah</t>
        </is>
      </c>
      <c r="C11" s="37" t="inlineStr">
        <is>
          <t>Kimberly Simmerman</t>
        </is>
      </c>
      <c r="D11" s="37" t="inlineStr">
        <is>
          <t>Jordan Naylor</t>
        </is>
      </c>
      <c r="E11" s="40" t="n">
        <v>46282</v>
      </c>
      <c r="F11" s="38" t="n">
        <v>20338</v>
      </c>
      <c r="G11" s="37" t="inlineStr">
        <is>
          <t>Self</t>
        </is>
      </c>
      <c r="H11" s="37" t="inlineStr">
        <is>
          <t>Kimberly Simmerman</t>
        </is>
      </c>
    </row>
    <row r="12">
      <c r="A12" s="37" t="inlineStr">
        <is>
          <t>Carlos &amp; Yanina Becco / 1004 S 860 W</t>
        </is>
      </c>
      <c r="B12" s="37" t="inlineStr">
        <is>
          <t>Southern Utah</t>
        </is>
      </c>
      <c r="C12" s="37" t="inlineStr">
        <is>
          <t>Kimberly Simmerman</t>
        </is>
      </c>
      <c r="D12" s="37" t="inlineStr">
        <is>
          <t>Jordan Naylor</t>
        </is>
      </c>
      <c r="E12" s="40" t="n">
        <v>46282</v>
      </c>
      <c r="F12" s="38" t="n">
        <v>20262</v>
      </c>
      <c r="G12" s="37" t="inlineStr">
        <is>
          <t>Self</t>
        </is>
      </c>
      <c r="H12" s="37" t="inlineStr">
        <is>
          <t>Kimberly Simmerman</t>
        </is>
      </c>
    </row>
    <row r="13">
      <c r="A13" s="37" t="inlineStr">
        <is>
          <t>Kim &amp; Lorie Stonehouse / 893 S 860 W</t>
        </is>
      </c>
      <c r="B13" s="37" t="inlineStr">
        <is>
          <t>Southern Utah</t>
        </is>
      </c>
      <c r="C13" s="37" t="inlineStr">
        <is>
          <t>Kimberly Simmerman</t>
        </is>
      </c>
      <c r="D13" s="37" t="inlineStr">
        <is>
          <t>JJ Gurney</t>
        </is>
      </c>
      <c r="E13" s="40" t="n">
        <v>46276</v>
      </c>
      <c r="F13" s="38" t="n">
        <v>19549</v>
      </c>
      <c r="G13" s="37" t="inlineStr">
        <is>
          <t>Self</t>
        </is>
      </c>
      <c r="H13" s="37" t="inlineStr">
        <is>
          <t>Kimberly Simmerman</t>
        </is>
      </c>
    </row>
    <row r="14">
      <c r="A14" s="37" t="inlineStr">
        <is>
          <t>Marilyn Grainger / 996 S 860 W</t>
        </is>
      </c>
      <c r="B14" s="37" t="inlineStr">
        <is>
          <t>Southern Utah</t>
        </is>
      </c>
      <c r="C14" s="37" t="inlineStr">
        <is>
          <t>Kimberly Simmerman</t>
        </is>
      </c>
      <c r="D14" s="37" t="inlineStr">
        <is>
          <t>Jordan Naylor</t>
        </is>
      </c>
      <c r="E14" s="40" t="n">
        <v>46282</v>
      </c>
      <c r="F14" s="38" t="n">
        <v>13193</v>
      </c>
      <c r="G14" s="37" t="inlineStr">
        <is>
          <t>Self</t>
        </is>
      </c>
      <c r="H14" s="37" t="inlineStr">
        <is>
          <t>Kimberly Simmerman</t>
        </is>
      </c>
    </row>
    <row r="15">
      <c r="A15" s="37" t="inlineStr">
        <is>
          <t>Mark &amp; Rlene Tucker / 680 S 1100 W</t>
        </is>
      </c>
      <c r="B15" s="37" t="inlineStr">
        <is>
          <t>Southern Utah</t>
        </is>
      </c>
      <c r="C15" s="37" t="inlineStr">
        <is>
          <t>Kimberly Simmerman</t>
        </is>
      </c>
      <c r="D15" s="37" t="inlineStr">
        <is>
          <t>Jordan Naylor</t>
        </is>
      </c>
      <c r="E15" s="40" t="n">
        <v>46287</v>
      </c>
      <c r="F15" s="38" t="n">
        <v>12150</v>
      </c>
      <c r="G15" s="37" t="inlineStr">
        <is>
          <t>Self</t>
        </is>
      </c>
      <c r="H15" s="37" t="inlineStr">
        <is>
          <t>Kimberly Simmerman</t>
        </is>
      </c>
    </row>
    <row r="16">
      <c r="A16" s="29" t="inlineStr">
        <is>
          <t>TOTAL</t>
        </is>
      </c>
      <c r="B16" s="7" t="n"/>
      <c r="C16" s="7" t="n"/>
      <c r="D16" s="7" t="n"/>
      <c r="E16" s="7" t="n"/>
      <c r="F16" s="31">
        <f>SUM(F11:F15)</f>
        <v/>
      </c>
      <c r="G16" s="7" t="n"/>
      <c r="H16" s="7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14" customWidth="1" min="5" max="5"/>
    <col width="16" customWidth="1" min="6" max="6"/>
    <col width="15" customWidth="1" min="7" max="7"/>
    <col width="20" customWidth="1" min="8" max="8"/>
  </cols>
  <sheetData>
    <row r="1">
      <c r="A1" s="12" t="inlineStr">
        <is>
          <t>Kerrigan Simpson</t>
        </is>
      </c>
    </row>
    <row r="2">
      <c r="A2" s="13" t="inlineStr">
        <is>
          <t>Total downline revenue (September 2026):</t>
        </is>
      </c>
      <c r="B2" s="14">
        <f>F17</f>
        <v/>
      </c>
    </row>
    <row r="4">
      <c r="A4" s="15" t="inlineStr">
        <is>
          <t>Downline Recruit Breakdown</t>
        </is>
      </c>
    </row>
    <row r="5">
      <c r="A5" s="16" t="inlineStr">
        <is>
          <t>Recruit</t>
        </is>
      </c>
      <c r="B5" s="16" t="inlineStr">
        <is>
          <t>Sales Team</t>
        </is>
      </c>
      <c r="C5" s="16" t="inlineStr">
        <is>
          <t>Level</t>
        </is>
      </c>
      <c r="D5" s="16" t="inlineStr">
        <is>
          <t>Recruited By</t>
        </is>
      </c>
      <c r="E5" s="16" t="inlineStr">
        <is>
          <t>Deals</t>
        </is>
      </c>
      <c r="F5" s="16" t="inlineStr">
        <is>
          <t>Revenue</t>
        </is>
      </c>
      <c r="G5" s="16" t="inlineStr">
        <is>
          <t>% of Total</t>
        </is>
      </c>
    </row>
    <row r="6">
      <c r="A6" s="37" t="inlineStr">
        <is>
          <t>Kerrigan Simpson</t>
        </is>
      </c>
      <c r="B6" s="37" t="inlineStr">
        <is>
          <t>Eastern Idaho</t>
        </is>
      </c>
      <c r="C6" s="37" t="inlineStr">
        <is>
          <t>Self</t>
        </is>
      </c>
      <c r="D6" s="37" t="inlineStr"/>
      <c r="E6" s="37">
        <f>COUNTIF($H$12:$H$16,A6)</f>
        <v/>
      </c>
      <c r="F6" s="38">
        <f>SUMIF($H$12:$H$16,A6,$F$12:$F$16)</f>
        <v/>
      </c>
      <c r="G6" s="39">
        <f>IF($F$17=0,0,F6/$F$17)</f>
        <v/>
      </c>
    </row>
    <row r="7">
      <c r="A7" s="17" t="inlineStr">
        <is>
          <t>Lane Coffey</t>
        </is>
      </c>
      <c r="B7" s="17" t="inlineStr">
        <is>
          <t>Eastern Idaho</t>
        </is>
      </c>
      <c r="C7" s="17" t="inlineStr">
        <is>
          <t>Level 1</t>
        </is>
      </c>
      <c r="D7" s="17" t="inlineStr">
        <is>
          <t>Kerrigan Simpson</t>
        </is>
      </c>
      <c r="E7" s="17">
        <f>COUNTIF($H$12:$H$16,A7)</f>
        <v/>
      </c>
      <c r="F7" s="18">
        <f>SUMIF($H$12:$H$16,A7,$F$12:$F$16)</f>
        <v/>
      </c>
      <c r="G7" s="19">
        <f>IF($F$17=0,0,F7/$F$17)</f>
        <v/>
      </c>
    </row>
    <row r="8">
      <c r="A8" s="29" t="inlineStr">
        <is>
          <t>TOTAL</t>
        </is>
      </c>
      <c r="B8" s="7" t="n"/>
      <c r="C8" s="7" t="n"/>
      <c r="D8" s="7" t="n"/>
      <c r="E8" s="30">
        <f>SUM(E6:E7)</f>
        <v/>
      </c>
      <c r="F8" s="31">
        <f>SUM(F6:F7)</f>
        <v/>
      </c>
      <c r="G8" s="32">
        <f>SUM(G6:G7)</f>
        <v/>
      </c>
    </row>
    <row r="10">
      <c r="A10" s="15" t="inlineStr">
        <is>
          <t>Opportunities</t>
        </is>
      </c>
    </row>
    <row r="11">
      <c r="A11" s="16" t="inlineStr">
        <is>
          <t>Opportunity</t>
        </is>
      </c>
      <c r="B11" s="16" t="inlineStr">
        <is>
          <t>Sales Team</t>
        </is>
      </c>
      <c r="C11" s="16" t="inlineStr">
        <is>
          <t>Canvasser</t>
        </is>
      </c>
      <c r="D11" s="16" t="inlineStr">
        <is>
          <t>Closer</t>
        </is>
      </c>
      <c r="E11" s="16" t="inlineStr">
        <is>
          <t>Closing Date</t>
        </is>
      </c>
      <c r="F11" s="16" t="inlineStr">
        <is>
          <t>Contract Value</t>
        </is>
      </c>
      <c r="G11" s="16" t="inlineStr">
        <is>
          <t>Downline</t>
        </is>
      </c>
      <c r="H11" s="16" t="inlineStr">
        <is>
          <t>Credited Via</t>
        </is>
      </c>
    </row>
    <row r="12">
      <c r="A12" s="37" t="inlineStr">
        <is>
          <t>Milton Johns / 2436 Haw Creek Blvd</t>
        </is>
      </c>
      <c r="B12" s="37" t="inlineStr">
        <is>
          <t>Eastern Idaho</t>
        </is>
      </c>
      <c r="C12" s="37" t="inlineStr">
        <is>
          <t>Kerrigan Simpson</t>
        </is>
      </c>
      <c r="D12" s="37" t="inlineStr">
        <is>
          <t>Kerrigan Simpson</t>
        </is>
      </c>
      <c r="E12" s="40" t="n">
        <v>46267</v>
      </c>
      <c r="F12" s="38" t="n">
        <v>30009</v>
      </c>
      <c r="G12" s="37" t="inlineStr">
        <is>
          <t>Self</t>
        </is>
      </c>
      <c r="H12" s="37" t="inlineStr">
        <is>
          <t>Kerrigan Simpson</t>
        </is>
      </c>
    </row>
    <row r="13">
      <c r="A13" s="37" t="inlineStr">
        <is>
          <t>Dana Boylan / 2740 Ancabide Ln</t>
        </is>
      </c>
      <c r="B13" s="37" t="inlineStr">
        <is>
          <t>Eastern Idaho</t>
        </is>
      </c>
      <c r="C13" s="37" t="inlineStr">
        <is>
          <t>Kerrigan Simpson</t>
        </is>
      </c>
      <c r="D13" s="37" t="inlineStr">
        <is>
          <t>Kerrigan Simpson</t>
        </is>
      </c>
      <c r="E13" s="40" t="n">
        <v>46275</v>
      </c>
      <c r="F13" s="38" t="n">
        <v>15898</v>
      </c>
      <c r="G13" s="37" t="inlineStr">
        <is>
          <t>Self</t>
        </is>
      </c>
      <c r="H13" s="37" t="inlineStr">
        <is>
          <t>Kerrigan Simpson</t>
        </is>
      </c>
    </row>
    <row r="14">
      <c r="A14" s="17" t="inlineStr">
        <is>
          <t>Christine Warner / 121 Dallas St</t>
        </is>
      </c>
      <c r="B14" s="17" t="inlineStr">
        <is>
          <t>Eastern Idaho</t>
        </is>
      </c>
      <c r="C14" s="17" t="inlineStr">
        <is>
          <t>Lane Coffey</t>
        </is>
      </c>
      <c r="D14" s="17" t="inlineStr">
        <is>
          <t>Kerrigan Simpson</t>
        </is>
      </c>
      <c r="E14" s="33" t="n">
        <v>46276</v>
      </c>
      <c r="F14" s="18" t="n">
        <v>17633</v>
      </c>
      <c r="G14" s="17" t="inlineStr">
        <is>
          <t>Level 1</t>
        </is>
      </c>
      <c r="H14" s="17" t="inlineStr">
        <is>
          <t>Lane Coffey</t>
        </is>
      </c>
    </row>
    <row r="15">
      <c r="A15" s="17" t="inlineStr">
        <is>
          <t>Dennis Vaillancourt / 212 Pine St</t>
        </is>
      </c>
      <c r="B15" s="17" t="inlineStr">
        <is>
          <t>Eastern Idaho</t>
        </is>
      </c>
      <c r="C15" s="17" t="inlineStr">
        <is>
          <t>Lane Coffey</t>
        </is>
      </c>
      <c r="D15" s="17" t="inlineStr">
        <is>
          <t>Kerrigan Simpson</t>
        </is>
      </c>
      <c r="E15" s="33" t="n">
        <v>46277</v>
      </c>
      <c r="F15" s="18" t="n">
        <v>7519</v>
      </c>
      <c r="G15" s="17" t="inlineStr">
        <is>
          <t>Level 1</t>
        </is>
      </c>
      <c r="H15" s="17" t="inlineStr">
        <is>
          <t>Lane Coffey</t>
        </is>
      </c>
    </row>
    <row r="16">
      <c r="A16" s="17" t="inlineStr">
        <is>
          <t>Anita/Rayne Klein / 151 Cove Ln</t>
        </is>
      </c>
      <c r="B16" s="17" t="inlineStr">
        <is>
          <t>Eastern Idaho</t>
        </is>
      </c>
      <c r="C16" s="17" t="inlineStr">
        <is>
          <t>Lane Coffey</t>
        </is>
      </c>
      <c r="D16" s="17" t="inlineStr">
        <is>
          <t>Kerrigan Simpson</t>
        </is>
      </c>
      <c r="E16" s="33" t="n">
        <v>46291</v>
      </c>
      <c r="F16" s="18" t="n">
        <v>6686</v>
      </c>
      <c r="G16" s="17" t="inlineStr">
        <is>
          <t>Level 1</t>
        </is>
      </c>
      <c r="H16" s="17" t="inlineStr">
        <is>
          <t>Lane Coffey</t>
        </is>
      </c>
    </row>
    <row r="17">
      <c r="A17" s="29" t="inlineStr">
        <is>
          <t>TOTAL</t>
        </is>
      </c>
      <c r="B17" s="7" t="n"/>
      <c r="C17" s="7" t="n"/>
      <c r="D17" s="7" t="n"/>
      <c r="E17" s="7" t="n"/>
      <c r="F17" s="31">
        <f>SUM(F12:F16)</f>
        <v/>
      </c>
      <c r="G17" s="7" t="n"/>
      <c r="H17" s="7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14" customWidth="1" min="5" max="5"/>
    <col width="16" customWidth="1" min="6" max="6"/>
    <col width="15" customWidth="1" min="7" max="7"/>
    <col width="20" customWidth="1" min="8" max="8"/>
  </cols>
  <sheetData>
    <row r="1">
      <c r="A1" s="12" t="inlineStr">
        <is>
          <t>Mario Torres</t>
        </is>
      </c>
    </row>
    <row r="2">
      <c r="A2" s="13" t="inlineStr">
        <is>
          <t>Total downline revenue (September 2026):</t>
        </is>
      </c>
      <c r="B2" s="14">
        <f>F17</f>
        <v/>
      </c>
    </row>
    <row r="4">
      <c r="A4" s="15" t="inlineStr">
        <is>
          <t>Downline Recruit Breakdown</t>
        </is>
      </c>
    </row>
    <row r="5">
      <c r="A5" s="16" t="inlineStr">
        <is>
          <t>Recruit</t>
        </is>
      </c>
      <c r="B5" s="16" t="inlineStr">
        <is>
          <t>Sales Team</t>
        </is>
      </c>
      <c r="C5" s="16" t="inlineStr">
        <is>
          <t>Level</t>
        </is>
      </c>
      <c r="D5" s="16" t="inlineStr">
        <is>
          <t>Recruited By</t>
        </is>
      </c>
      <c r="E5" s="16" t="inlineStr">
        <is>
          <t>Deals</t>
        </is>
      </c>
      <c r="F5" s="16" t="inlineStr">
        <is>
          <t>Revenue</t>
        </is>
      </c>
      <c r="G5" s="16" t="inlineStr">
        <is>
          <t>% of Total</t>
        </is>
      </c>
    </row>
    <row r="6">
      <c r="A6" s="17" t="inlineStr">
        <is>
          <t>Isabella Basanta</t>
        </is>
      </c>
      <c r="B6" s="17" t="inlineStr">
        <is>
          <t>Northern Utah</t>
        </is>
      </c>
      <c r="C6" s="17" t="inlineStr">
        <is>
          <t>Level 1</t>
        </is>
      </c>
      <c r="D6" s="17" t="inlineStr">
        <is>
          <t>Mario Torres</t>
        </is>
      </c>
      <c r="E6" s="17">
        <f>COUNTIF($H$11:$H$16,A6)</f>
        <v/>
      </c>
      <c r="F6" s="18">
        <f>SUMIF($H$11:$H$16,A6,$F$11:$F$16)</f>
        <v/>
      </c>
      <c r="G6" s="19">
        <f>IF($F$17=0,0,F6/$F$17)</f>
        <v/>
      </c>
    </row>
    <row r="7">
      <c r="A7" s="29" t="inlineStr">
        <is>
          <t>TOTAL</t>
        </is>
      </c>
      <c r="B7" s="7" t="n"/>
      <c r="C7" s="7" t="n"/>
      <c r="D7" s="7" t="n"/>
      <c r="E7" s="30">
        <f>SUM(E6:E6)</f>
        <v/>
      </c>
      <c r="F7" s="31">
        <f>SUM(F6:F6)</f>
        <v/>
      </c>
      <c r="G7" s="32">
        <f>SUM(G6:G6)</f>
        <v/>
      </c>
    </row>
    <row r="9">
      <c r="A9" s="15" t="inlineStr">
        <is>
          <t>Opportunities</t>
        </is>
      </c>
    </row>
    <row r="10">
      <c r="A10" s="16" t="inlineStr">
        <is>
          <t>Opportunity</t>
        </is>
      </c>
      <c r="B10" s="16" t="inlineStr">
        <is>
          <t>Sales Team</t>
        </is>
      </c>
      <c r="C10" s="16" t="inlineStr">
        <is>
          <t>Canvasser</t>
        </is>
      </c>
      <c r="D10" s="16" t="inlineStr">
        <is>
          <t>Closer</t>
        </is>
      </c>
      <c r="E10" s="16" t="inlineStr">
        <is>
          <t>Closing Date</t>
        </is>
      </c>
      <c r="F10" s="16" t="inlineStr">
        <is>
          <t>Contract Value</t>
        </is>
      </c>
      <c r="G10" s="16" t="inlineStr">
        <is>
          <t>Downline</t>
        </is>
      </c>
      <c r="H10" s="16" t="inlineStr">
        <is>
          <t>Credited Via</t>
        </is>
      </c>
    </row>
    <row r="11">
      <c r="A11" s="17" t="inlineStr">
        <is>
          <t>Joshua Fraley / 3825 Remington St</t>
        </is>
      </c>
      <c r="B11" s="17" t="inlineStr">
        <is>
          <t>Northern Utah</t>
        </is>
      </c>
      <c r="C11" s="17" t="inlineStr">
        <is>
          <t>Isabella Basanta</t>
        </is>
      </c>
      <c r="D11" s="17" t="inlineStr">
        <is>
          <t>Dane Covington</t>
        </is>
      </c>
      <c r="E11" s="33" t="n">
        <v>46284</v>
      </c>
      <c r="F11" s="18" t="n">
        <v>19718</v>
      </c>
      <c r="G11" s="17" t="inlineStr">
        <is>
          <t>Level 1</t>
        </is>
      </c>
      <c r="H11" s="17" t="inlineStr">
        <is>
          <t>Isabella Basanta</t>
        </is>
      </c>
    </row>
    <row r="12">
      <c r="A12" s="17" t="inlineStr">
        <is>
          <t>Terence Meagher / 622 Mill Rd</t>
        </is>
      </c>
      <c r="B12" s="17" t="inlineStr">
        <is>
          <t>Northern Utah</t>
        </is>
      </c>
      <c r="C12" s="17" t="inlineStr">
        <is>
          <t>Isabella Basanta</t>
        </is>
      </c>
      <c r="D12" s="17" t="inlineStr">
        <is>
          <t>Kerrigan Simpson</t>
        </is>
      </c>
      <c r="E12" s="33" t="n">
        <v>46286</v>
      </c>
      <c r="F12" s="18" t="n">
        <v>17811</v>
      </c>
      <c r="G12" s="17" t="inlineStr">
        <is>
          <t>Level 1</t>
        </is>
      </c>
      <c r="H12" s="17" t="inlineStr">
        <is>
          <t>Isabella Basanta</t>
        </is>
      </c>
    </row>
    <row r="13">
      <c r="A13" s="17" t="inlineStr">
        <is>
          <t>Nicholas Hamm / 4432 Red Fox Dr</t>
        </is>
      </c>
      <c r="B13" s="17" t="inlineStr">
        <is>
          <t>Northern Utah</t>
        </is>
      </c>
      <c r="C13" s="17" t="inlineStr">
        <is>
          <t>Isabella Basanta</t>
        </is>
      </c>
      <c r="D13" s="17" t="inlineStr">
        <is>
          <t>Carl Crosland</t>
        </is>
      </c>
      <c r="E13" s="33" t="n">
        <v>46281</v>
      </c>
      <c r="F13" s="18" t="n">
        <v>16938</v>
      </c>
      <c r="G13" s="17" t="inlineStr">
        <is>
          <t>Level 1</t>
        </is>
      </c>
      <c r="H13" s="17" t="inlineStr">
        <is>
          <t>Isabella Basanta</t>
        </is>
      </c>
    </row>
    <row r="14">
      <c r="A14" s="17" t="inlineStr">
        <is>
          <t>Rachel Bond / 4330 Cougar Dr</t>
        </is>
      </c>
      <c r="B14" s="17" t="inlineStr">
        <is>
          <t>Northern Utah</t>
        </is>
      </c>
      <c r="C14" s="17" t="inlineStr">
        <is>
          <t>Isabella Basanta</t>
        </is>
      </c>
      <c r="D14" s="17" t="inlineStr">
        <is>
          <t>Carl Crosland</t>
        </is>
      </c>
      <c r="E14" s="33" t="n">
        <v>46280</v>
      </c>
      <c r="F14" s="18" t="n">
        <v>13026</v>
      </c>
      <c r="G14" s="17" t="inlineStr">
        <is>
          <t>Level 1</t>
        </is>
      </c>
      <c r="H14" s="17" t="inlineStr">
        <is>
          <t>Isabella Basanta</t>
        </is>
      </c>
    </row>
    <row r="15">
      <c r="A15" s="17" t="inlineStr">
        <is>
          <t>Marshall Peterson / 2635 Sundance Dr</t>
        </is>
      </c>
      <c r="B15" s="17" t="inlineStr">
        <is>
          <t>Northern Utah</t>
        </is>
      </c>
      <c r="C15" s="17" t="inlineStr">
        <is>
          <t>Isabella Basanta</t>
        </is>
      </c>
      <c r="D15" s="17" t="inlineStr">
        <is>
          <t>Dane Covington</t>
        </is>
      </c>
      <c r="E15" s="33" t="n">
        <v>46282</v>
      </c>
      <c r="F15" s="18" t="n">
        <v>6121</v>
      </c>
      <c r="G15" s="17" t="inlineStr">
        <is>
          <t>Level 1</t>
        </is>
      </c>
      <c r="H15" s="17" t="inlineStr">
        <is>
          <t>Isabella Basanta</t>
        </is>
      </c>
    </row>
    <row r="16">
      <c r="A16" s="17" t="inlineStr">
        <is>
          <t>Mario Ricardo Torres Laboriel / 636 E 300 N</t>
        </is>
      </c>
      <c r="B16" s="17" t="inlineStr">
        <is>
          <t>Northern Utah</t>
        </is>
      </c>
      <c r="C16" s="17" t="inlineStr">
        <is>
          <t>Isabella Basanta</t>
        </is>
      </c>
      <c r="D16" s="17" t="inlineStr">
        <is>
          <t>Terry Xanthos</t>
        </is>
      </c>
      <c r="E16" s="33" t="n">
        <v>46295</v>
      </c>
      <c r="F16" s="18" t="n">
        <v>3534</v>
      </c>
      <c r="G16" s="17" t="inlineStr">
        <is>
          <t>Level 1</t>
        </is>
      </c>
      <c r="H16" s="17" t="inlineStr">
        <is>
          <t>Isabella Basanta</t>
        </is>
      </c>
    </row>
    <row r="17">
      <c r="A17" s="29" t="inlineStr">
        <is>
          <t>TOTAL</t>
        </is>
      </c>
      <c r="B17" s="7" t="n"/>
      <c r="C17" s="7" t="n"/>
      <c r="D17" s="7" t="n"/>
      <c r="E17" s="7" t="n"/>
      <c r="F17" s="31">
        <f>SUM(F11:F16)</f>
        <v/>
      </c>
      <c r="G17" s="7" t="n"/>
      <c r="H17" s="7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14" customWidth="1" min="5" max="5"/>
    <col width="16" customWidth="1" min="6" max="6"/>
    <col width="15" customWidth="1" min="7" max="7"/>
    <col width="20" customWidth="1" min="8" max="8"/>
  </cols>
  <sheetData>
    <row r="1">
      <c r="A1" s="12" t="inlineStr">
        <is>
          <t>Terry Xanthos</t>
        </is>
      </c>
    </row>
    <row r="2">
      <c r="A2" s="13" t="inlineStr">
        <is>
          <t>Total downline revenue (September 2026):</t>
        </is>
      </c>
      <c r="B2" s="14">
        <f>F17</f>
        <v/>
      </c>
    </row>
    <row r="4">
      <c r="A4" s="15" t="inlineStr">
        <is>
          <t>Downline Recruit Breakdown</t>
        </is>
      </c>
    </row>
    <row r="5">
      <c r="A5" s="16" t="inlineStr">
        <is>
          <t>Recruit</t>
        </is>
      </c>
      <c r="B5" s="16" t="inlineStr">
        <is>
          <t>Sales Team</t>
        </is>
      </c>
      <c r="C5" s="16" t="inlineStr">
        <is>
          <t>Level</t>
        </is>
      </c>
      <c r="D5" s="16" t="inlineStr">
        <is>
          <t>Recruited By</t>
        </is>
      </c>
      <c r="E5" s="16" t="inlineStr">
        <is>
          <t>Deals</t>
        </is>
      </c>
      <c r="F5" s="16" t="inlineStr">
        <is>
          <t>Revenue</t>
        </is>
      </c>
      <c r="G5" s="16" t="inlineStr">
        <is>
          <t>% of Total</t>
        </is>
      </c>
    </row>
    <row r="6">
      <c r="A6" s="20" t="inlineStr">
        <is>
          <t>Isabella Basanta</t>
        </is>
      </c>
      <c r="B6" s="20" t="inlineStr">
        <is>
          <t>Northern Utah</t>
        </is>
      </c>
      <c r="C6" s="20" t="inlineStr">
        <is>
          <t>Level 2</t>
        </is>
      </c>
      <c r="D6" s="20" t="inlineStr">
        <is>
          <t>Mario Torres</t>
        </is>
      </c>
      <c r="E6" s="20">
        <f>COUNTIF($H$11:$H$16,A6)</f>
        <v/>
      </c>
      <c r="F6" s="21">
        <f>SUMIF($H$11:$H$16,A6,$F$11:$F$16)</f>
        <v/>
      </c>
      <c r="G6" s="22">
        <f>IF($F$17=0,0,F6/$F$17)</f>
        <v/>
      </c>
    </row>
    <row r="7">
      <c r="A7" s="29" t="inlineStr">
        <is>
          <t>TOTAL</t>
        </is>
      </c>
      <c r="B7" s="7" t="n"/>
      <c r="C7" s="7" t="n"/>
      <c r="D7" s="7" t="n"/>
      <c r="E7" s="30">
        <f>SUM(E6:E6)</f>
        <v/>
      </c>
      <c r="F7" s="31">
        <f>SUM(F6:F6)</f>
        <v/>
      </c>
      <c r="G7" s="32">
        <f>SUM(G6:G6)</f>
        <v/>
      </c>
    </row>
    <row r="9">
      <c r="A9" s="15" t="inlineStr">
        <is>
          <t>Opportunities</t>
        </is>
      </c>
    </row>
    <row r="10">
      <c r="A10" s="16" t="inlineStr">
        <is>
          <t>Opportunity</t>
        </is>
      </c>
      <c r="B10" s="16" t="inlineStr">
        <is>
          <t>Sales Team</t>
        </is>
      </c>
      <c r="C10" s="16" t="inlineStr">
        <is>
          <t>Canvasser</t>
        </is>
      </c>
      <c r="D10" s="16" t="inlineStr">
        <is>
          <t>Closer</t>
        </is>
      </c>
      <c r="E10" s="16" t="inlineStr">
        <is>
          <t>Closing Date</t>
        </is>
      </c>
      <c r="F10" s="16" t="inlineStr">
        <is>
          <t>Contract Value</t>
        </is>
      </c>
      <c r="G10" s="16" t="inlineStr">
        <is>
          <t>Downline</t>
        </is>
      </c>
      <c r="H10" s="16" t="inlineStr">
        <is>
          <t>Credited Via</t>
        </is>
      </c>
    </row>
    <row r="11">
      <c r="A11" s="20" t="inlineStr">
        <is>
          <t>Joshua Fraley / 3825 Remington St</t>
        </is>
      </c>
      <c r="B11" s="20" t="inlineStr">
        <is>
          <t>Northern Utah</t>
        </is>
      </c>
      <c r="C11" s="20" t="inlineStr">
        <is>
          <t>Isabella Basanta</t>
        </is>
      </c>
      <c r="D11" s="20" t="inlineStr">
        <is>
          <t>Dane Covington</t>
        </is>
      </c>
      <c r="E11" s="34" t="n">
        <v>46284</v>
      </c>
      <c r="F11" s="21" t="n">
        <v>19718</v>
      </c>
      <c r="G11" s="20" t="inlineStr">
        <is>
          <t>Level 2</t>
        </is>
      </c>
      <c r="H11" s="20" t="inlineStr">
        <is>
          <t>Isabella Basanta</t>
        </is>
      </c>
    </row>
    <row r="12">
      <c r="A12" s="20" t="inlineStr">
        <is>
          <t>Terence Meagher / 622 Mill Rd</t>
        </is>
      </c>
      <c r="B12" s="20" t="inlineStr">
        <is>
          <t>Northern Utah</t>
        </is>
      </c>
      <c r="C12" s="20" t="inlineStr">
        <is>
          <t>Isabella Basanta</t>
        </is>
      </c>
      <c r="D12" s="20" t="inlineStr">
        <is>
          <t>Kerrigan Simpson</t>
        </is>
      </c>
      <c r="E12" s="34" t="n">
        <v>46286</v>
      </c>
      <c r="F12" s="21" t="n">
        <v>17811</v>
      </c>
      <c r="G12" s="20" t="inlineStr">
        <is>
          <t>Level 2</t>
        </is>
      </c>
      <c r="H12" s="20" t="inlineStr">
        <is>
          <t>Isabella Basanta</t>
        </is>
      </c>
    </row>
    <row r="13">
      <c r="A13" s="20" t="inlineStr">
        <is>
          <t>Nicholas Hamm / 4432 Red Fox Dr</t>
        </is>
      </c>
      <c r="B13" s="20" t="inlineStr">
        <is>
          <t>Northern Utah</t>
        </is>
      </c>
      <c r="C13" s="20" t="inlineStr">
        <is>
          <t>Isabella Basanta</t>
        </is>
      </c>
      <c r="D13" s="20" t="inlineStr">
        <is>
          <t>Carl Crosland</t>
        </is>
      </c>
      <c r="E13" s="34" t="n">
        <v>46281</v>
      </c>
      <c r="F13" s="21" t="n">
        <v>16938</v>
      </c>
      <c r="G13" s="20" t="inlineStr">
        <is>
          <t>Level 2</t>
        </is>
      </c>
      <c r="H13" s="20" t="inlineStr">
        <is>
          <t>Isabella Basanta</t>
        </is>
      </c>
    </row>
    <row r="14">
      <c r="A14" s="20" t="inlineStr">
        <is>
          <t>Rachel Bond / 4330 Cougar Dr</t>
        </is>
      </c>
      <c r="B14" s="20" t="inlineStr">
        <is>
          <t>Northern Utah</t>
        </is>
      </c>
      <c r="C14" s="20" t="inlineStr">
        <is>
          <t>Isabella Basanta</t>
        </is>
      </c>
      <c r="D14" s="20" t="inlineStr">
        <is>
          <t>Carl Crosland</t>
        </is>
      </c>
      <c r="E14" s="34" t="n">
        <v>46280</v>
      </c>
      <c r="F14" s="21" t="n">
        <v>13026</v>
      </c>
      <c r="G14" s="20" t="inlineStr">
        <is>
          <t>Level 2</t>
        </is>
      </c>
      <c r="H14" s="20" t="inlineStr">
        <is>
          <t>Isabella Basanta</t>
        </is>
      </c>
    </row>
    <row r="15">
      <c r="A15" s="20" t="inlineStr">
        <is>
          <t>Marshall Peterson / 2635 Sundance Dr</t>
        </is>
      </c>
      <c r="B15" s="20" t="inlineStr">
        <is>
          <t>Northern Utah</t>
        </is>
      </c>
      <c r="C15" s="20" t="inlineStr">
        <is>
          <t>Isabella Basanta</t>
        </is>
      </c>
      <c r="D15" s="20" t="inlineStr">
        <is>
          <t>Dane Covington</t>
        </is>
      </c>
      <c r="E15" s="34" t="n">
        <v>46282</v>
      </c>
      <c r="F15" s="21" t="n">
        <v>6121</v>
      </c>
      <c r="G15" s="20" t="inlineStr">
        <is>
          <t>Level 2</t>
        </is>
      </c>
      <c r="H15" s="20" t="inlineStr">
        <is>
          <t>Isabella Basanta</t>
        </is>
      </c>
    </row>
    <row r="16">
      <c r="A16" s="20" t="inlineStr">
        <is>
          <t>Mario Ricardo Torres Laboriel / 636 E 300 N</t>
        </is>
      </c>
      <c r="B16" s="20" t="inlineStr">
        <is>
          <t>Northern Utah</t>
        </is>
      </c>
      <c r="C16" s="20" t="inlineStr">
        <is>
          <t>Isabella Basanta</t>
        </is>
      </c>
      <c r="D16" s="20" t="inlineStr">
        <is>
          <t>Terry Xanthos</t>
        </is>
      </c>
      <c r="E16" s="34" t="n">
        <v>46295</v>
      </c>
      <c r="F16" s="21" t="n">
        <v>3534</v>
      </c>
      <c r="G16" s="20" t="inlineStr">
        <is>
          <t>Level 2</t>
        </is>
      </c>
      <c r="H16" s="20" t="inlineStr">
        <is>
          <t>Isabella Basanta</t>
        </is>
      </c>
    </row>
    <row r="17">
      <c r="A17" s="29" t="inlineStr">
        <is>
          <t>TOTAL</t>
        </is>
      </c>
      <c r="B17" s="7" t="n"/>
      <c r="C17" s="7" t="n"/>
      <c r="D17" s="7" t="n"/>
      <c r="E17" s="7" t="n"/>
      <c r="F17" s="31">
        <f>SUM(F11:F16)</f>
        <v/>
      </c>
      <c r="G17" s="7" t="n"/>
      <c r="H17" s="7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14" customWidth="1" min="5" max="5"/>
    <col width="16" customWidth="1" min="6" max="6"/>
    <col width="15" customWidth="1" min="7" max="7"/>
    <col width="20" customWidth="1" min="8" max="8"/>
  </cols>
  <sheetData>
    <row r="1">
      <c r="A1" s="12" t="inlineStr">
        <is>
          <t>Brian Gwyn</t>
        </is>
      </c>
    </row>
    <row r="2">
      <c r="A2" s="13" t="inlineStr">
        <is>
          <t>Total downline revenue (September 2026):</t>
        </is>
      </c>
      <c r="B2" s="14">
        <f>F14</f>
        <v/>
      </c>
    </row>
    <row r="4">
      <c r="A4" s="15" t="inlineStr">
        <is>
          <t>Downline Recruit Breakdown</t>
        </is>
      </c>
    </row>
    <row r="5">
      <c r="A5" s="16" t="inlineStr">
        <is>
          <t>Recruit</t>
        </is>
      </c>
      <c r="B5" s="16" t="inlineStr">
        <is>
          <t>Sales Team</t>
        </is>
      </c>
      <c r="C5" s="16" t="inlineStr">
        <is>
          <t>Level</t>
        </is>
      </c>
      <c r="D5" s="16" t="inlineStr">
        <is>
          <t>Recruited By</t>
        </is>
      </c>
      <c r="E5" s="16" t="inlineStr">
        <is>
          <t>Deals</t>
        </is>
      </c>
      <c r="F5" s="16" t="inlineStr">
        <is>
          <t>Revenue</t>
        </is>
      </c>
      <c r="G5" s="16" t="inlineStr">
        <is>
          <t>% of Total</t>
        </is>
      </c>
    </row>
    <row r="6">
      <c r="A6" s="37" t="inlineStr">
        <is>
          <t>Brian Gwyn</t>
        </is>
      </c>
      <c r="B6" s="37" t="inlineStr">
        <is>
          <t>Eastern Idaho</t>
        </is>
      </c>
      <c r="C6" s="37" t="inlineStr">
        <is>
          <t>Self</t>
        </is>
      </c>
      <c r="D6" s="37" t="inlineStr"/>
      <c r="E6" s="37">
        <f>COUNTIF($H$12:$H$13,A6)</f>
        <v/>
      </c>
      <c r="F6" s="38">
        <f>SUMIF($H$12:$H$13,A6,$F$12:$F$13)</f>
        <v/>
      </c>
      <c r="G6" s="39">
        <f>IF($F$14=0,0,F6/$F$14)</f>
        <v/>
      </c>
    </row>
    <row r="7">
      <c r="A7" s="20" t="inlineStr">
        <is>
          <t>Amber Heer</t>
        </is>
      </c>
      <c r="B7" s="20" t="inlineStr">
        <is>
          <t>Eastern Idaho</t>
        </is>
      </c>
      <c r="C7" s="20" t="inlineStr">
        <is>
          <t>Level 2</t>
        </is>
      </c>
      <c r="D7" s="20" t="inlineStr">
        <is>
          <t>Scott Heer</t>
        </is>
      </c>
      <c r="E7" s="20">
        <f>COUNTIF($H$12:$H$13,A7)</f>
        <v/>
      </c>
      <c r="F7" s="21">
        <f>SUMIF($H$12:$H$13,A7,$F$12:$F$13)</f>
        <v/>
      </c>
      <c r="G7" s="22">
        <f>IF($F$14=0,0,F7/$F$14)</f>
        <v/>
      </c>
    </row>
    <row r="8">
      <c r="A8" s="29" t="inlineStr">
        <is>
          <t>TOTAL</t>
        </is>
      </c>
      <c r="B8" s="7" t="n"/>
      <c r="C8" s="7" t="n"/>
      <c r="D8" s="7" t="n"/>
      <c r="E8" s="30">
        <f>SUM(E6:E7)</f>
        <v/>
      </c>
      <c r="F8" s="31">
        <f>SUM(F6:F7)</f>
        <v/>
      </c>
      <c r="G8" s="32">
        <f>SUM(G6:G7)</f>
        <v/>
      </c>
    </row>
    <row r="10">
      <c r="A10" s="15" t="inlineStr">
        <is>
          <t>Opportunities</t>
        </is>
      </c>
    </row>
    <row r="11">
      <c r="A11" s="16" t="inlineStr">
        <is>
          <t>Opportunity</t>
        </is>
      </c>
      <c r="B11" s="16" t="inlineStr">
        <is>
          <t>Sales Team</t>
        </is>
      </c>
      <c r="C11" s="16" t="inlineStr">
        <is>
          <t>Canvasser</t>
        </is>
      </c>
      <c r="D11" s="16" t="inlineStr">
        <is>
          <t>Closer</t>
        </is>
      </c>
      <c r="E11" s="16" t="inlineStr">
        <is>
          <t>Closing Date</t>
        </is>
      </c>
      <c r="F11" s="16" t="inlineStr">
        <is>
          <t>Contract Value</t>
        </is>
      </c>
      <c r="G11" s="16" t="inlineStr">
        <is>
          <t>Downline</t>
        </is>
      </c>
      <c r="H11" s="16" t="inlineStr">
        <is>
          <t>Credited Via</t>
        </is>
      </c>
    </row>
    <row r="12">
      <c r="A12" s="37" t="inlineStr">
        <is>
          <t>Robert &amp; Maria Becker / 2405 3rd Ave N</t>
        </is>
      </c>
      <c r="B12" s="37" t="inlineStr">
        <is>
          <t>Eastern Idaho</t>
        </is>
      </c>
      <c r="C12" s="37" t="inlineStr">
        <is>
          <t>Brian Gwyn</t>
        </is>
      </c>
      <c r="D12" s="37" t="inlineStr">
        <is>
          <t>Brian Gwyn</t>
        </is>
      </c>
      <c r="E12" s="40" t="n">
        <v>46295</v>
      </c>
      <c r="F12" s="38" t="n">
        <v>47530</v>
      </c>
      <c r="G12" s="37" t="inlineStr">
        <is>
          <t>Self</t>
        </is>
      </c>
      <c r="H12" s="37" t="inlineStr">
        <is>
          <t>Brian Gwyn</t>
        </is>
      </c>
    </row>
    <row r="13">
      <c r="A13" s="20" t="inlineStr">
        <is>
          <t>Maria Rocio Heinemann / 8150 Lazy H Trl</t>
        </is>
      </c>
      <c r="B13" s="20" t="inlineStr">
        <is>
          <t>Eastern Idaho</t>
        </is>
      </c>
      <c r="C13" s="20" t="inlineStr">
        <is>
          <t>Amber Heer</t>
        </is>
      </c>
      <c r="D13" s="20" t="inlineStr">
        <is>
          <t>Nick Brown</t>
        </is>
      </c>
      <c r="E13" s="34" t="n">
        <v>46277</v>
      </c>
      <c r="F13" s="21" t="n">
        <v>19764</v>
      </c>
      <c r="G13" s="20" t="inlineStr">
        <is>
          <t>Level 2</t>
        </is>
      </c>
      <c r="H13" s="20" t="inlineStr">
        <is>
          <t>Amber Heer</t>
        </is>
      </c>
    </row>
    <row r="14">
      <c r="A14" s="29" t="inlineStr">
        <is>
          <t>TOTAL</t>
        </is>
      </c>
      <c r="B14" s="7" t="n"/>
      <c r="C14" s="7" t="n"/>
      <c r="D14" s="7" t="n"/>
      <c r="E14" s="7" t="n"/>
      <c r="F14" s="31">
        <f>SUM(F12:F13)</f>
        <v/>
      </c>
      <c r="G14" s="7" t="n"/>
      <c r="H14" s="7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14" customWidth="1" min="5" max="5"/>
    <col width="16" customWidth="1" min="6" max="6"/>
    <col width="15" customWidth="1" min="7" max="7"/>
    <col width="20" customWidth="1" min="8" max="8"/>
  </cols>
  <sheetData>
    <row r="1">
      <c r="A1" s="12" t="inlineStr">
        <is>
          <t>Chase Merrell</t>
        </is>
      </c>
    </row>
    <row r="2">
      <c r="A2" s="13" t="inlineStr">
        <is>
          <t>Total downline revenue (September 2026):</t>
        </is>
      </c>
      <c r="B2" s="14">
        <f>F14</f>
        <v/>
      </c>
    </row>
    <row r="4">
      <c r="A4" s="15" t="inlineStr">
        <is>
          <t>Downline Recruit Breakdown</t>
        </is>
      </c>
    </row>
    <row r="5">
      <c r="A5" s="16" t="inlineStr">
        <is>
          <t>Recruit</t>
        </is>
      </c>
      <c r="B5" s="16" t="inlineStr">
        <is>
          <t>Sales Team</t>
        </is>
      </c>
      <c r="C5" s="16" t="inlineStr">
        <is>
          <t>Level</t>
        </is>
      </c>
      <c r="D5" s="16" t="inlineStr">
        <is>
          <t>Recruited By</t>
        </is>
      </c>
      <c r="E5" s="16" t="inlineStr">
        <is>
          <t>Deals</t>
        </is>
      </c>
      <c r="F5" s="16" t="inlineStr">
        <is>
          <t>Revenue</t>
        </is>
      </c>
      <c r="G5" s="16" t="inlineStr">
        <is>
          <t>% of Total</t>
        </is>
      </c>
    </row>
    <row r="6">
      <c r="A6" s="37" t="inlineStr">
        <is>
          <t>Chase Merrell</t>
        </is>
      </c>
      <c r="B6" s="37" t="inlineStr">
        <is>
          <t>Southern Utah</t>
        </is>
      </c>
      <c r="C6" s="37" t="inlineStr">
        <is>
          <t>Self</t>
        </is>
      </c>
      <c r="D6" s="37" t="inlineStr"/>
      <c r="E6" s="37">
        <f>COUNTIF($H$11:$H$13,A6)</f>
        <v/>
      </c>
      <c r="F6" s="38">
        <f>SUMIF($H$11:$H$13,A6,$F$11:$F$13)</f>
        <v/>
      </c>
      <c r="G6" s="39">
        <f>IF($F$14=0,0,F6/$F$14)</f>
        <v/>
      </c>
    </row>
    <row r="7">
      <c r="A7" s="29" t="inlineStr">
        <is>
          <t>TOTAL</t>
        </is>
      </c>
      <c r="B7" s="7" t="n"/>
      <c r="C7" s="7" t="n"/>
      <c r="D7" s="7" t="n"/>
      <c r="E7" s="30">
        <f>SUM(E6:E6)</f>
        <v/>
      </c>
      <c r="F7" s="31">
        <f>SUM(F6:F6)</f>
        <v/>
      </c>
      <c r="G7" s="32">
        <f>SUM(G6:G6)</f>
        <v/>
      </c>
    </row>
    <row r="9">
      <c r="A9" s="15" t="inlineStr">
        <is>
          <t>Opportunities</t>
        </is>
      </c>
    </row>
    <row r="10">
      <c r="A10" s="16" t="inlineStr">
        <is>
          <t>Opportunity</t>
        </is>
      </c>
      <c r="B10" s="16" t="inlineStr">
        <is>
          <t>Sales Team</t>
        </is>
      </c>
      <c r="C10" s="16" t="inlineStr">
        <is>
          <t>Canvasser</t>
        </is>
      </c>
      <c r="D10" s="16" t="inlineStr">
        <is>
          <t>Closer</t>
        </is>
      </c>
      <c r="E10" s="16" t="inlineStr">
        <is>
          <t>Closing Date</t>
        </is>
      </c>
      <c r="F10" s="16" t="inlineStr">
        <is>
          <t>Contract Value</t>
        </is>
      </c>
      <c r="G10" s="16" t="inlineStr">
        <is>
          <t>Downline</t>
        </is>
      </c>
      <c r="H10" s="16" t="inlineStr">
        <is>
          <t>Credited Via</t>
        </is>
      </c>
    </row>
    <row r="11">
      <c r="A11" s="37" t="inlineStr">
        <is>
          <t>Michael Monday / 192 Quiet Water Ave</t>
        </is>
      </c>
      <c r="B11" s="37" t="inlineStr">
        <is>
          <t>Southern Utah</t>
        </is>
      </c>
      <c r="C11" s="37" t="inlineStr">
        <is>
          <t>Chase Merrell</t>
        </is>
      </c>
      <c r="D11" s="37" t="inlineStr">
        <is>
          <t>Nathan Lewis</t>
        </is>
      </c>
      <c r="E11" s="40" t="n">
        <v>46281</v>
      </c>
      <c r="F11" s="38" t="n">
        <v>38023</v>
      </c>
      <c r="G11" s="37" t="inlineStr">
        <is>
          <t>Self</t>
        </is>
      </c>
      <c r="H11" s="37" t="inlineStr">
        <is>
          <t>Chase Merrell</t>
        </is>
      </c>
    </row>
    <row r="12">
      <c r="A12" s="37" t="inlineStr">
        <is>
          <t>Jennifer Gaghen / 430 Wigwam Trl</t>
        </is>
      </c>
      <c r="B12" s="37" t="inlineStr">
        <is>
          <t>Southern Utah</t>
        </is>
      </c>
      <c r="C12" s="37" t="inlineStr">
        <is>
          <t>Chase Merrell</t>
        </is>
      </c>
      <c r="D12" s="37" t="inlineStr">
        <is>
          <t>Nathan Lewis</t>
        </is>
      </c>
      <c r="E12" s="40" t="n">
        <v>46281</v>
      </c>
      <c r="F12" s="38" t="n">
        <v>18593</v>
      </c>
      <c r="G12" s="37" t="inlineStr">
        <is>
          <t>Self</t>
        </is>
      </c>
      <c r="H12" s="37" t="inlineStr">
        <is>
          <t>Chase Merrell</t>
        </is>
      </c>
    </row>
    <row r="13">
      <c r="A13" s="37" t="inlineStr">
        <is>
          <t>Steven French / 475 Wigwam Trl</t>
        </is>
      </c>
      <c r="B13" s="37" t="inlineStr">
        <is>
          <t>Southern Utah</t>
        </is>
      </c>
      <c r="C13" s="37" t="inlineStr">
        <is>
          <t>Chase Merrell</t>
        </is>
      </c>
      <c r="D13" s="37" t="inlineStr">
        <is>
          <t>JJ Gurney</t>
        </is>
      </c>
      <c r="E13" s="40" t="n">
        <v>46281</v>
      </c>
      <c r="F13" s="38" t="n">
        <v>9937</v>
      </c>
      <c r="G13" s="37" t="inlineStr">
        <is>
          <t>Self</t>
        </is>
      </c>
      <c r="H13" s="37" t="inlineStr">
        <is>
          <t>Chase Merrell</t>
        </is>
      </c>
    </row>
    <row r="14">
      <c r="A14" s="29" t="inlineStr">
        <is>
          <t>TOTAL</t>
        </is>
      </c>
      <c r="B14" s="7" t="n"/>
      <c r="C14" s="7" t="n"/>
      <c r="D14" s="7" t="n"/>
      <c r="E14" s="7" t="n"/>
      <c r="F14" s="31">
        <f>SUM(F11:F13)</f>
        <v/>
      </c>
      <c r="G14" s="7" t="n"/>
      <c r="H14" s="7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14" customWidth="1" min="5" max="5"/>
    <col width="16" customWidth="1" min="6" max="6"/>
    <col width="15" customWidth="1" min="7" max="7"/>
    <col width="20" customWidth="1" min="8" max="8"/>
  </cols>
  <sheetData>
    <row r="1">
      <c r="A1" s="12" t="inlineStr">
        <is>
          <t>Alan Fransen</t>
        </is>
      </c>
    </row>
    <row r="2">
      <c r="A2" s="13" t="inlineStr">
        <is>
          <t>Total downline revenue (September 2026):</t>
        </is>
      </c>
      <c r="B2" s="14">
        <f>F16</f>
        <v/>
      </c>
    </row>
    <row r="4">
      <c r="A4" s="15" t="inlineStr">
        <is>
          <t>Downline Recruit Breakdown</t>
        </is>
      </c>
    </row>
    <row r="5">
      <c r="A5" s="16" t="inlineStr">
        <is>
          <t>Recruit</t>
        </is>
      </c>
      <c r="B5" s="16" t="inlineStr">
        <is>
          <t>Sales Team</t>
        </is>
      </c>
      <c r="C5" s="16" t="inlineStr">
        <is>
          <t>Level</t>
        </is>
      </c>
      <c r="D5" s="16" t="inlineStr">
        <is>
          <t>Recruited By</t>
        </is>
      </c>
      <c r="E5" s="16" t="inlineStr">
        <is>
          <t>Deals</t>
        </is>
      </c>
      <c r="F5" s="16" t="inlineStr">
        <is>
          <t>Revenue</t>
        </is>
      </c>
      <c r="G5" s="16" t="inlineStr">
        <is>
          <t>% of Total</t>
        </is>
      </c>
    </row>
    <row r="6">
      <c r="A6" s="37" t="inlineStr">
        <is>
          <t>Alan Fransen</t>
        </is>
      </c>
      <c r="B6" s="37" t="inlineStr">
        <is>
          <t>Eastern Idaho</t>
        </is>
      </c>
      <c r="C6" s="37" t="inlineStr">
        <is>
          <t>Self</t>
        </is>
      </c>
      <c r="D6" s="37" t="inlineStr"/>
      <c r="E6" s="37">
        <f>COUNTIF($H$12:$H$15,A6)</f>
        <v/>
      </c>
      <c r="F6" s="38">
        <f>SUMIF($H$12:$H$15,A6,$F$12:$F$15)</f>
        <v/>
      </c>
      <c r="G6" s="39">
        <f>IF($F$16=0,0,F6/$F$16)</f>
        <v/>
      </c>
    </row>
    <row r="7">
      <c r="A7" s="17" t="inlineStr">
        <is>
          <t>Caleb Fransen</t>
        </is>
      </c>
      <c r="B7" s="17" t="inlineStr">
        <is>
          <t>Eastern Idaho</t>
        </is>
      </c>
      <c r="C7" s="17" t="inlineStr">
        <is>
          <t>Level 1</t>
        </is>
      </c>
      <c r="D7" s="17" t="inlineStr">
        <is>
          <t>Alan Fransen</t>
        </is>
      </c>
      <c r="E7" s="17">
        <f>COUNTIF($H$12:$H$15,A7)</f>
        <v/>
      </c>
      <c r="F7" s="18">
        <f>SUMIF($H$12:$H$15,A7,$F$12:$F$15)</f>
        <v/>
      </c>
      <c r="G7" s="19">
        <f>IF($F$16=0,0,F7/$F$16)</f>
        <v/>
      </c>
    </row>
    <row r="8">
      <c r="A8" s="29" t="inlineStr">
        <is>
          <t>TOTAL</t>
        </is>
      </c>
      <c r="B8" s="7" t="n"/>
      <c r="C8" s="7" t="n"/>
      <c r="D8" s="7" t="n"/>
      <c r="E8" s="30">
        <f>SUM(E6:E7)</f>
        <v/>
      </c>
      <c r="F8" s="31">
        <f>SUM(F6:F7)</f>
        <v/>
      </c>
      <c r="G8" s="32">
        <f>SUM(G6:G7)</f>
        <v/>
      </c>
    </row>
    <row r="10">
      <c r="A10" s="15" t="inlineStr">
        <is>
          <t>Opportunities</t>
        </is>
      </c>
    </row>
    <row r="11">
      <c r="A11" s="16" t="inlineStr">
        <is>
          <t>Opportunity</t>
        </is>
      </c>
      <c r="B11" s="16" t="inlineStr">
        <is>
          <t>Sales Team</t>
        </is>
      </c>
      <c r="C11" s="16" t="inlineStr">
        <is>
          <t>Canvasser</t>
        </is>
      </c>
      <c r="D11" s="16" t="inlineStr">
        <is>
          <t>Closer</t>
        </is>
      </c>
      <c r="E11" s="16" t="inlineStr">
        <is>
          <t>Closing Date</t>
        </is>
      </c>
      <c r="F11" s="16" t="inlineStr">
        <is>
          <t>Contract Value</t>
        </is>
      </c>
      <c r="G11" s="16" t="inlineStr">
        <is>
          <t>Downline</t>
        </is>
      </c>
      <c r="H11" s="16" t="inlineStr">
        <is>
          <t>Credited Via</t>
        </is>
      </c>
    </row>
    <row r="12">
      <c r="A12" s="37" t="inlineStr">
        <is>
          <t>David Poulson / 4443 E 116 N</t>
        </is>
      </c>
      <c r="B12" s="37" t="inlineStr">
        <is>
          <t>Eastern Idaho</t>
        </is>
      </c>
      <c r="C12" s="37" t="inlineStr">
        <is>
          <t>Alan Fransen</t>
        </is>
      </c>
      <c r="D12" s="37" t="inlineStr">
        <is>
          <t>Alan Fransen</t>
        </is>
      </c>
      <c r="E12" s="40" t="n">
        <v>46279</v>
      </c>
      <c r="F12" s="38" t="n">
        <v>13785</v>
      </c>
      <c r="G12" s="37" t="inlineStr">
        <is>
          <t>Self</t>
        </is>
      </c>
      <c r="H12" s="37" t="inlineStr">
        <is>
          <t>Alan Fransen</t>
        </is>
      </c>
    </row>
    <row r="13">
      <c r="A13" s="37" t="inlineStr">
        <is>
          <t>Forrest Barnes / 237 N 4300 E</t>
        </is>
      </c>
      <c r="B13" s="37" t="inlineStr">
        <is>
          <t>Eastern Idaho</t>
        </is>
      </c>
      <c r="C13" s="37" t="inlineStr">
        <is>
          <t>Alan Fransen</t>
        </is>
      </c>
      <c r="D13" s="37" t="inlineStr">
        <is>
          <t>Alan Fransen</t>
        </is>
      </c>
      <c r="E13" s="40" t="n">
        <v>46289</v>
      </c>
      <c r="F13" s="38" t="n">
        <v>13441</v>
      </c>
      <c r="G13" s="37" t="inlineStr">
        <is>
          <t>Self</t>
        </is>
      </c>
      <c r="H13" s="37" t="inlineStr">
        <is>
          <t>Alan Fransen</t>
        </is>
      </c>
    </row>
    <row r="14">
      <c r="A14" s="37" t="inlineStr">
        <is>
          <t>Thomas Strong / 4124 E 230 N</t>
        </is>
      </c>
      <c r="B14" s="37" t="inlineStr">
        <is>
          <t>Eastern Idaho</t>
        </is>
      </c>
      <c r="C14" s="37" t="inlineStr">
        <is>
          <t>Alan Fransen</t>
        </is>
      </c>
      <c r="D14" s="37" t="inlineStr">
        <is>
          <t>Alan Fransen</t>
        </is>
      </c>
      <c r="E14" s="40" t="n">
        <v>46289</v>
      </c>
      <c r="F14" s="38" t="n">
        <v>6095</v>
      </c>
      <c r="G14" s="37" t="inlineStr">
        <is>
          <t>Self</t>
        </is>
      </c>
      <c r="H14" s="37" t="inlineStr">
        <is>
          <t>Alan Fransen</t>
        </is>
      </c>
    </row>
    <row r="15">
      <c r="A15" s="17" t="inlineStr">
        <is>
          <t>Lam Vo / 331 Alder St</t>
        </is>
      </c>
      <c r="B15" s="17" t="inlineStr">
        <is>
          <t>Eastern Idaho</t>
        </is>
      </c>
      <c r="C15" s="17" t="inlineStr">
        <is>
          <t>Caleb Fransen</t>
        </is>
      </c>
      <c r="D15" s="17" t="inlineStr">
        <is>
          <t>Kerrigan Simpson</t>
        </is>
      </c>
      <c r="E15" s="33" t="n">
        <v>46270</v>
      </c>
      <c r="F15" s="18" t="n">
        <v>18991</v>
      </c>
      <c r="G15" s="17" t="inlineStr">
        <is>
          <t>Level 1</t>
        </is>
      </c>
      <c r="H15" s="17" t="inlineStr">
        <is>
          <t>Caleb Fransen</t>
        </is>
      </c>
    </row>
    <row r="16">
      <c r="A16" s="29" t="inlineStr">
        <is>
          <t>TOTAL</t>
        </is>
      </c>
      <c r="B16" s="7" t="n"/>
      <c r="C16" s="7" t="n"/>
      <c r="D16" s="7" t="n"/>
      <c r="E16" s="7" t="n"/>
      <c r="F16" s="31">
        <f>SUM(F12:F15)</f>
        <v/>
      </c>
      <c r="G16" s="7" t="n"/>
      <c r="H16" s="7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14" customWidth="1" min="5" max="5"/>
    <col width="16" customWidth="1" min="6" max="6"/>
    <col width="15" customWidth="1" min="7" max="7"/>
    <col width="20" customWidth="1" min="8" max="8"/>
  </cols>
  <sheetData>
    <row r="1">
      <c r="A1" s="12" t="inlineStr">
        <is>
          <t>Lane Coffey</t>
        </is>
      </c>
    </row>
    <row r="2">
      <c r="A2" s="13" t="inlineStr">
        <is>
          <t>Total downline revenue (September 2026):</t>
        </is>
      </c>
      <c r="B2" s="14">
        <f>F14</f>
        <v/>
      </c>
    </row>
    <row r="4">
      <c r="A4" s="15" t="inlineStr">
        <is>
          <t>Downline Recruit Breakdown</t>
        </is>
      </c>
    </row>
    <row r="5">
      <c r="A5" s="16" t="inlineStr">
        <is>
          <t>Recruit</t>
        </is>
      </c>
      <c r="B5" s="16" t="inlineStr">
        <is>
          <t>Sales Team</t>
        </is>
      </c>
      <c r="C5" s="16" t="inlineStr">
        <is>
          <t>Level</t>
        </is>
      </c>
      <c r="D5" s="16" t="inlineStr">
        <is>
          <t>Recruited By</t>
        </is>
      </c>
      <c r="E5" s="16" t="inlineStr">
        <is>
          <t>Deals</t>
        </is>
      </c>
      <c r="F5" s="16" t="inlineStr">
        <is>
          <t>Revenue</t>
        </is>
      </c>
      <c r="G5" s="16" t="inlineStr">
        <is>
          <t>% of Total</t>
        </is>
      </c>
    </row>
    <row r="6">
      <c r="A6" s="37" t="inlineStr">
        <is>
          <t>Lane Coffey</t>
        </is>
      </c>
      <c r="B6" s="37" t="inlineStr">
        <is>
          <t>Eastern Idaho</t>
        </is>
      </c>
      <c r="C6" s="37" t="inlineStr">
        <is>
          <t>Self</t>
        </is>
      </c>
      <c r="D6" s="37" t="inlineStr"/>
      <c r="E6" s="37">
        <f>COUNTIF($H$11:$H$13,A6)</f>
        <v/>
      </c>
      <c r="F6" s="38">
        <f>SUMIF($H$11:$H$13,A6,$F$11:$F$13)</f>
        <v/>
      </c>
      <c r="G6" s="39">
        <f>IF($F$14=0,0,F6/$F$14)</f>
        <v/>
      </c>
    </row>
    <row r="7">
      <c r="A7" s="29" t="inlineStr">
        <is>
          <t>TOTAL</t>
        </is>
      </c>
      <c r="B7" s="7" t="n"/>
      <c r="C7" s="7" t="n"/>
      <c r="D7" s="7" t="n"/>
      <c r="E7" s="30">
        <f>SUM(E6:E6)</f>
        <v/>
      </c>
      <c r="F7" s="31">
        <f>SUM(F6:F6)</f>
        <v/>
      </c>
      <c r="G7" s="32">
        <f>SUM(G6:G6)</f>
        <v/>
      </c>
    </row>
    <row r="9">
      <c r="A9" s="15" t="inlineStr">
        <is>
          <t>Opportunities</t>
        </is>
      </c>
    </row>
    <row r="10">
      <c r="A10" s="16" t="inlineStr">
        <is>
          <t>Opportunity</t>
        </is>
      </c>
      <c r="B10" s="16" t="inlineStr">
        <is>
          <t>Sales Team</t>
        </is>
      </c>
      <c r="C10" s="16" t="inlineStr">
        <is>
          <t>Canvasser</t>
        </is>
      </c>
      <c r="D10" s="16" t="inlineStr">
        <is>
          <t>Closer</t>
        </is>
      </c>
      <c r="E10" s="16" t="inlineStr">
        <is>
          <t>Closing Date</t>
        </is>
      </c>
      <c r="F10" s="16" t="inlineStr">
        <is>
          <t>Contract Value</t>
        </is>
      </c>
      <c r="G10" s="16" t="inlineStr">
        <is>
          <t>Downline</t>
        </is>
      </c>
      <c r="H10" s="16" t="inlineStr">
        <is>
          <t>Credited Via</t>
        </is>
      </c>
    </row>
    <row r="11">
      <c r="A11" s="37" t="inlineStr">
        <is>
          <t>Christine Warner / 121 Dallas St</t>
        </is>
      </c>
      <c r="B11" s="37" t="inlineStr">
        <is>
          <t>Eastern Idaho</t>
        </is>
      </c>
      <c r="C11" s="37" t="inlineStr">
        <is>
          <t>Lane Coffey</t>
        </is>
      </c>
      <c r="D11" s="37" t="inlineStr">
        <is>
          <t>Kerrigan Simpson</t>
        </is>
      </c>
      <c r="E11" s="40" t="n">
        <v>46276</v>
      </c>
      <c r="F11" s="38" t="n">
        <v>17633</v>
      </c>
      <c r="G11" s="37" t="inlineStr">
        <is>
          <t>Self</t>
        </is>
      </c>
      <c r="H11" s="37" t="inlineStr">
        <is>
          <t>Lane Coffey</t>
        </is>
      </c>
    </row>
    <row r="12">
      <c r="A12" s="37" t="inlineStr">
        <is>
          <t>Dennis Vaillancourt / 212 Pine St</t>
        </is>
      </c>
      <c r="B12" s="37" t="inlineStr">
        <is>
          <t>Eastern Idaho</t>
        </is>
      </c>
      <c r="C12" s="37" t="inlineStr">
        <is>
          <t>Lane Coffey</t>
        </is>
      </c>
      <c r="D12" s="37" t="inlineStr">
        <is>
          <t>Kerrigan Simpson</t>
        </is>
      </c>
      <c r="E12" s="40" t="n">
        <v>46277</v>
      </c>
      <c r="F12" s="38" t="n">
        <v>7519</v>
      </c>
      <c r="G12" s="37" t="inlineStr">
        <is>
          <t>Self</t>
        </is>
      </c>
      <c r="H12" s="37" t="inlineStr">
        <is>
          <t>Lane Coffey</t>
        </is>
      </c>
    </row>
    <row r="13">
      <c r="A13" s="37" t="inlineStr">
        <is>
          <t>Anita/Rayne Klein / 151 Cove Ln</t>
        </is>
      </c>
      <c r="B13" s="37" t="inlineStr">
        <is>
          <t>Eastern Idaho</t>
        </is>
      </c>
      <c r="C13" s="37" t="inlineStr">
        <is>
          <t>Lane Coffey</t>
        </is>
      </c>
      <c r="D13" s="37" t="inlineStr">
        <is>
          <t>Kerrigan Simpson</t>
        </is>
      </c>
      <c r="E13" s="40" t="n">
        <v>46291</v>
      </c>
      <c r="F13" s="38" t="n">
        <v>6686</v>
      </c>
      <c r="G13" s="37" t="inlineStr">
        <is>
          <t>Self</t>
        </is>
      </c>
      <c r="H13" s="37" t="inlineStr">
        <is>
          <t>Lane Coffey</t>
        </is>
      </c>
    </row>
    <row r="14">
      <c r="A14" s="29" t="inlineStr">
        <is>
          <t>TOTAL</t>
        </is>
      </c>
      <c r="B14" s="7" t="n"/>
      <c r="C14" s="7" t="n"/>
      <c r="D14" s="7" t="n"/>
      <c r="E14" s="7" t="n"/>
      <c r="F14" s="31">
        <f>SUM(F11:F13)</f>
        <v/>
      </c>
      <c r="G14" s="7" t="n"/>
      <c r="H14" s="7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14" customWidth="1" min="5" max="5"/>
    <col width="16" customWidth="1" min="6" max="6"/>
    <col width="15" customWidth="1" min="7" max="7"/>
    <col width="20" customWidth="1" min="8" max="8"/>
  </cols>
  <sheetData>
    <row r="1">
      <c r="A1" s="12" t="inlineStr">
        <is>
          <t>Jason Trolson</t>
        </is>
      </c>
    </row>
    <row r="2">
      <c r="A2" s="13" t="inlineStr">
        <is>
          <t>Total downline revenue (September 2026):</t>
        </is>
      </c>
      <c r="B2" s="14">
        <f>F12</f>
        <v/>
      </c>
    </row>
    <row r="4">
      <c r="A4" s="15" t="inlineStr">
        <is>
          <t>Downline Recruit Breakdown</t>
        </is>
      </c>
    </row>
    <row r="5">
      <c r="A5" s="16" t="inlineStr">
        <is>
          <t>Recruit</t>
        </is>
      </c>
      <c r="B5" s="16" t="inlineStr">
        <is>
          <t>Sales Team</t>
        </is>
      </c>
      <c r="C5" s="16" t="inlineStr">
        <is>
          <t>Level</t>
        </is>
      </c>
      <c r="D5" s="16" t="inlineStr">
        <is>
          <t>Recruited By</t>
        </is>
      </c>
      <c r="E5" s="16" t="inlineStr">
        <is>
          <t>Deals</t>
        </is>
      </c>
      <c r="F5" s="16" t="inlineStr">
        <is>
          <t>Revenue</t>
        </is>
      </c>
      <c r="G5" s="16" t="inlineStr">
        <is>
          <t>% of Total</t>
        </is>
      </c>
    </row>
    <row r="6">
      <c r="A6" s="37" t="inlineStr">
        <is>
          <t>Jason Trolson</t>
        </is>
      </c>
      <c r="B6" s="37" t="inlineStr">
        <is>
          <t>Northern Utah</t>
        </is>
      </c>
      <c r="C6" s="37" t="inlineStr">
        <is>
          <t>Self</t>
        </is>
      </c>
      <c r="D6" s="37" t="inlineStr"/>
      <c r="E6" s="37">
        <f>COUNTIF($H$11:$H$11,A6)</f>
        <v/>
      </c>
      <c r="F6" s="38">
        <f>SUMIF($H$11:$H$11,A6,$F$11:$F$11)</f>
        <v/>
      </c>
      <c r="G6" s="39">
        <f>IF($F$12=0,0,F6/$F$12)</f>
        <v/>
      </c>
    </row>
    <row r="7">
      <c r="A7" s="29" t="inlineStr">
        <is>
          <t>TOTAL</t>
        </is>
      </c>
      <c r="B7" s="7" t="n"/>
      <c r="C7" s="7" t="n"/>
      <c r="D7" s="7" t="n"/>
      <c r="E7" s="30">
        <f>SUM(E6:E6)</f>
        <v/>
      </c>
      <c r="F7" s="31">
        <f>SUM(F6:F6)</f>
        <v/>
      </c>
      <c r="G7" s="32">
        <f>SUM(G6:G6)</f>
        <v/>
      </c>
    </row>
    <row r="9">
      <c r="A9" s="15" t="inlineStr">
        <is>
          <t>Opportunities</t>
        </is>
      </c>
    </row>
    <row r="10">
      <c r="A10" s="16" t="inlineStr">
        <is>
          <t>Opportunity</t>
        </is>
      </c>
      <c r="B10" s="16" t="inlineStr">
        <is>
          <t>Sales Team</t>
        </is>
      </c>
      <c r="C10" s="16" t="inlineStr">
        <is>
          <t>Canvasser</t>
        </is>
      </c>
      <c r="D10" s="16" t="inlineStr">
        <is>
          <t>Closer</t>
        </is>
      </c>
      <c r="E10" s="16" t="inlineStr">
        <is>
          <t>Closing Date</t>
        </is>
      </c>
      <c r="F10" s="16" t="inlineStr">
        <is>
          <t>Contract Value</t>
        </is>
      </c>
      <c r="G10" s="16" t="inlineStr">
        <is>
          <t>Downline</t>
        </is>
      </c>
      <c r="H10" s="16" t="inlineStr">
        <is>
          <t>Credited Via</t>
        </is>
      </c>
    </row>
    <row r="11">
      <c r="A11" s="37" t="inlineStr">
        <is>
          <t>Tami Ellis / 130 Briarwood Ln</t>
        </is>
      </c>
      <c r="B11" s="37" t="inlineStr">
        <is>
          <t>Northern Utah</t>
        </is>
      </c>
      <c r="C11" s="37" t="inlineStr">
        <is>
          <t>Jason Trolson</t>
        </is>
      </c>
      <c r="D11" s="37" t="inlineStr">
        <is>
          <t>Dane Covington</t>
        </is>
      </c>
      <c r="E11" s="40" t="n">
        <v>46278</v>
      </c>
      <c r="F11" s="38" t="n">
        <v>20565</v>
      </c>
      <c r="G11" s="37" t="inlineStr">
        <is>
          <t>Self</t>
        </is>
      </c>
      <c r="H11" s="37" t="inlineStr">
        <is>
          <t>Jason Trolson</t>
        </is>
      </c>
    </row>
    <row r="12">
      <c r="A12" s="29" t="inlineStr">
        <is>
          <t>TOTAL</t>
        </is>
      </c>
      <c r="B12" s="7" t="n"/>
      <c r="C12" s="7" t="n"/>
      <c r="D12" s="7" t="n"/>
      <c r="E12" s="7" t="n"/>
      <c r="F12" s="31">
        <f>SUM(F11:F11)</f>
        <v/>
      </c>
      <c r="G12" s="7" t="n"/>
      <c r="H12" s="7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14" customWidth="1" min="5" max="5"/>
    <col width="16" customWidth="1" min="6" max="6"/>
    <col width="15" customWidth="1" min="7" max="7"/>
    <col width="20" customWidth="1" min="8" max="8"/>
  </cols>
  <sheetData>
    <row r="1">
      <c r="A1" s="12" t="inlineStr">
        <is>
          <t>Scott Heer</t>
        </is>
      </c>
    </row>
    <row r="2">
      <c r="A2" s="13" t="inlineStr">
        <is>
          <t>Total downline revenue (September 2026):</t>
        </is>
      </c>
      <c r="B2" s="14">
        <f>F12</f>
        <v/>
      </c>
    </row>
    <row r="4">
      <c r="A4" s="15" t="inlineStr">
        <is>
          <t>Downline Recruit Breakdown</t>
        </is>
      </c>
    </row>
    <row r="5">
      <c r="A5" s="16" t="inlineStr">
        <is>
          <t>Recruit</t>
        </is>
      </c>
      <c r="B5" s="16" t="inlineStr">
        <is>
          <t>Sales Team</t>
        </is>
      </c>
      <c r="C5" s="16" t="inlineStr">
        <is>
          <t>Level</t>
        </is>
      </c>
      <c r="D5" s="16" t="inlineStr">
        <is>
          <t>Recruited By</t>
        </is>
      </c>
      <c r="E5" s="16" t="inlineStr">
        <is>
          <t>Deals</t>
        </is>
      </c>
      <c r="F5" s="16" t="inlineStr">
        <is>
          <t>Revenue</t>
        </is>
      </c>
      <c r="G5" s="16" t="inlineStr">
        <is>
          <t>% of Total</t>
        </is>
      </c>
    </row>
    <row r="6">
      <c r="A6" s="17" t="inlineStr">
        <is>
          <t>Amber Heer</t>
        </is>
      </c>
      <c r="B6" s="17" t="inlineStr">
        <is>
          <t>Eastern Idaho</t>
        </is>
      </c>
      <c r="C6" s="17" t="inlineStr">
        <is>
          <t>Level 1</t>
        </is>
      </c>
      <c r="D6" s="17" t="inlineStr">
        <is>
          <t>Scott Heer</t>
        </is>
      </c>
      <c r="E6" s="17">
        <f>COUNTIF($H$11:$H$11,A6)</f>
        <v/>
      </c>
      <c r="F6" s="18">
        <f>SUMIF($H$11:$H$11,A6,$F$11:$F$11)</f>
        <v/>
      </c>
      <c r="G6" s="19">
        <f>IF($F$12=0,0,F6/$F$12)</f>
        <v/>
      </c>
    </row>
    <row r="7">
      <c r="A7" s="29" t="inlineStr">
        <is>
          <t>TOTAL</t>
        </is>
      </c>
      <c r="B7" s="7" t="n"/>
      <c r="C7" s="7" t="n"/>
      <c r="D7" s="7" t="n"/>
      <c r="E7" s="30">
        <f>SUM(E6:E6)</f>
        <v/>
      </c>
      <c r="F7" s="31">
        <f>SUM(F6:F6)</f>
        <v/>
      </c>
      <c r="G7" s="32">
        <f>SUM(G6:G6)</f>
        <v/>
      </c>
    </row>
    <row r="9">
      <c r="A9" s="15" t="inlineStr">
        <is>
          <t>Opportunities</t>
        </is>
      </c>
    </row>
    <row r="10">
      <c r="A10" s="16" t="inlineStr">
        <is>
          <t>Opportunity</t>
        </is>
      </c>
      <c r="B10" s="16" t="inlineStr">
        <is>
          <t>Sales Team</t>
        </is>
      </c>
      <c r="C10" s="16" t="inlineStr">
        <is>
          <t>Canvasser</t>
        </is>
      </c>
      <c r="D10" s="16" t="inlineStr">
        <is>
          <t>Closer</t>
        </is>
      </c>
      <c r="E10" s="16" t="inlineStr">
        <is>
          <t>Closing Date</t>
        </is>
      </c>
      <c r="F10" s="16" t="inlineStr">
        <is>
          <t>Contract Value</t>
        </is>
      </c>
      <c r="G10" s="16" t="inlineStr">
        <is>
          <t>Downline</t>
        </is>
      </c>
      <c r="H10" s="16" t="inlineStr">
        <is>
          <t>Credited Via</t>
        </is>
      </c>
    </row>
    <row r="11">
      <c r="A11" s="17" t="inlineStr">
        <is>
          <t>Maria Rocio Heinemann / 8150 Lazy H Trl</t>
        </is>
      </c>
      <c r="B11" s="17" t="inlineStr">
        <is>
          <t>Eastern Idaho</t>
        </is>
      </c>
      <c r="C11" s="17" t="inlineStr">
        <is>
          <t>Amber Heer</t>
        </is>
      </c>
      <c r="D11" s="17" t="inlineStr">
        <is>
          <t>Nick Brown</t>
        </is>
      </c>
      <c r="E11" s="33" t="n">
        <v>46277</v>
      </c>
      <c r="F11" s="18" t="n">
        <v>19764</v>
      </c>
      <c r="G11" s="17" t="inlineStr">
        <is>
          <t>Level 1</t>
        </is>
      </c>
      <c r="H11" s="17" t="inlineStr">
        <is>
          <t>Amber Heer</t>
        </is>
      </c>
    </row>
    <row r="12">
      <c r="A12" s="29" t="inlineStr">
        <is>
          <t>TOTAL</t>
        </is>
      </c>
      <c r="B12" s="7" t="n"/>
      <c r="C12" s="7" t="n"/>
      <c r="D12" s="7" t="n"/>
      <c r="E12" s="7" t="n"/>
      <c r="F12" s="31">
        <f>SUM(F11:F11)</f>
        <v/>
      </c>
      <c r="G12" s="7" t="n"/>
      <c r="H12" s="7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14" customWidth="1" min="5" max="5"/>
    <col width="16" customWidth="1" min="6" max="6"/>
    <col width="15" customWidth="1" min="7" max="7"/>
    <col width="20" customWidth="1" min="8" max="8"/>
  </cols>
  <sheetData>
    <row r="1">
      <c r="A1" s="12" t="inlineStr">
        <is>
          <t>Caleb Fransen</t>
        </is>
      </c>
    </row>
    <row r="2">
      <c r="A2" s="13" t="inlineStr">
        <is>
          <t>Total downline revenue (September 2026):</t>
        </is>
      </c>
      <c r="B2" s="14">
        <f>F12</f>
        <v/>
      </c>
    </row>
    <row r="4">
      <c r="A4" s="15" t="inlineStr">
        <is>
          <t>Downline Recruit Breakdown</t>
        </is>
      </c>
    </row>
    <row r="5">
      <c r="A5" s="16" t="inlineStr">
        <is>
          <t>Recruit</t>
        </is>
      </c>
      <c r="B5" s="16" t="inlineStr">
        <is>
          <t>Sales Team</t>
        </is>
      </c>
      <c r="C5" s="16" t="inlineStr">
        <is>
          <t>Level</t>
        </is>
      </c>
      <c r="D5" s="16" t="inlineStr">
        <is>
          <t>Recruited By</t>
        </is>
      </c>
      <c r="E5" s="16" t="inlineStr">
        <is>
          <t>Deals</t>
        </is>
      </c>
      <c r="F5" s="16" t="inlineStr">
        <is>
          <t>Revenue</t>
        </is>
      </c>
      <c r="G5" s="16" t="inlineStr">
        <is>
          <t>% of Total</t>
        </is>
      </c>
    </row>
    <row r="6">
      <c r="A6" s="37" t="inlineStr">
        <is>
          <t>Caleb Fransen</t>
        </is>
      </c>
      <c r="B6" s="37" t="inlineStr">
        <is>
          <t>Eastern Idaho</t>
        </is>
      </c>
      <c r="C6" s="37" t="inlineStr">
        <is>
          <t>Self</t>
        </is>
      </c>
      <c r="D6" s="37" t="inlineStr"/>
      <c r="E6" s="37">
        <f>COUNTIF($H$11:$H$11,A6)</f>
        <v/>
      </c>
      <c r="F6" s="38">
        <f>SUMIF($H$11:$H$11,A6,$F$11:$F$11)</f>
        <v/>
      </c>
      <c r="G6" s="39">
        <f>IF($F$12=0,0,F6/$F$12)</f>
        <v/>
      </c>
    </row>
    <row r="7">
      <c r="A7" s="29" t="inlineStr">
        <is>
          <t>TOTAL</t>
        </is>
      </c>
      <c r="B7" s="7" t="n"/>
      <c r="C7" s="7" t="n"/>
      <c r="D7" s="7" t="n"/>
      <c r="E7" s="30">
        <f>SUM(E6:E6)</f>
        <v/>
      </c>
      <c r="F7" s="31">
        <f>SUM(F6:F6)</f>
        <v/>
      </c>
      <c r="G7" s="32">
        <f>SUM(G6:G6)</f>
        <v/>
      </c>
    </row>
    <row r="9">
      <c r="A9" s="15" t="inlineStr">
        <is>
          <t>Opportunities</t>
        </is>
      </c>
    </row>
    <row r="10">
      <c r="A10" s="16" t="inlineStr">
        <is>
          <t>Opportunity</t>
        </is>
      </c>
      <c r="B10" s="16" t="inlineStr">
        <is>
          <t>Sales Team</t>
        </is>
      </c>
      <c r="C10" s="16" t="inlineStr">
        <is>
          <t>Canvasser</t>
        </is>
      </c>
      <c r="D10" s="16" t="inlineStr">
        <is>
          <t>Closer</t>
        </is>
      </c>
      <c r="E10" s="16" t="inlineStr">
        <is>
          <t>Closing Date</t>
        </is>
      </c>
      <c r="F10" s="16" t="inlineStr">
        <is>
          <t>Contract Value</t>
        </is>
      </c>
      <c r="G10" s="16" t="inlineStr">
        <is>
          <t>Downline</t>
        </is>
      </c>
      <c r="H10" s="16" t="inlineStr">
        <is>
          <t>Credited Via</t>
        </is>
      </c>
    </row>
    <row r="11">
      <c r="A11" s="37" t="inlineStr">
        <is>
          <t>Lam Vo / 331 Alder St</t>
        </is>
      </c>
      <c r="B11" s="37" t="inlineStr">
        <is>
          <t>Eastern Idaho</t>
        </is>
      </c>
      <c r="C11" s="37" t="inlineStr">
        <is>
          <t>Caleb Fransen</t>
        </is>
      </c>
      <c r="D11" s="37" t="inlineStr">
        <is>
          <t>Kerrigan Simpson</t>
        </is>
      </c>
      <c r="E11" s="40" t="n">
        <v>46270</v>
      </c>
      <c r="F11" s="38" t="n">
        <v>18991</v>
      </c>
      <c r="G11" s="37" t="inlineStr">
        <is>
          <t>Self</t>
        </is>
      </c>
      <c r="H11" s="37" t="inlineStr">
        <is>
          <t>Caleb Fransen</t>
        </is>
      </c>
    </row>
    <row r="12">
      <c r="A12" s="29" t="inlineStr">
        <is>
          <t>TOTAL</t>
        </is>
      </c>
      <c r="B12" s="7" t="n"/>
      <c r="C12" s="7" t="n"/>
      <c r="D12" s="7" t="n"/>
      <c r="E12" s="7" t="n"/>
      <c r="F12" s="31">
        <f>SUM(F11:F11)</f>
        <v/>
      </c>
      <c r="G12" s="7" t="n"/>
      <c r="H12" s="7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14" customWidth="1" min="5" max="5"/>
    <col width="16" customWidth="1" min="6" max="6"/>
    <col width="15" customWidth="1" min="7" max="7"/>
    <col width="20" customWidth="1" min="8" max="8"/>
  </cols>
  <sheetData>
    <row r="1">
      <c r="A1" s="12" t="inlineStr">
        <is>
          <t>Tanner Crosland</t>
        </is>
      </c>
    </row>
    <row r="2">
      <c r="A2" s="13" t="inlineStr">
        <is>
          <t>Total downline revenue (September 2026):</t>
        </is>
      </c>
      <c r="B2" s="14">
        <f>F12</f>
        <v/>
      </c>
    </row>
    <row r="4">
      <c r="A4" s="15" t="inlineStr">
        <is>
          <t>Downline Recruit Breakdown</t>
        </is>
      </c>
    </row>
    <row r="5">
      <c r="A5" s="16" t="inlineStr">
        <is>
          <t>Recruit</t>
        </is>
      </c>
      <c r="B5" s="16" t="inlineStr">
        <is>
          <t>Sales Team</t>
        </is>
      </c>
      <c r="C5" s="16" t="inlineStr">
        <is>
          <t>Level</t>
        </is>
      </c>
      <c r="D5" s="16" t="inlineStr">
        <is>
          <t>Recruited By</t>
        </is>
      </c>
      <c r="E5" s="16" t="inlineStr">
        <is>
          <t>Deals</t>
        </is>
      </c>
      <c r="F5" s="16" t="inlineStr">
        <is>
          <t>Revenue</t>
        </is>
      </c>
      <c r="G5" s="16" t="inlineStr">
        <is>
          <t>% of Total</t>
        </is>
      </c>
    </row>
    <row r="6">
      <c r="A6" s="37" t="inlineStr">
        <is>
          <t>Tanner Crosland</t>
        </is>
      </c>
      <c r="B6" s="37" t="inlineStr">
        <is>
          <t>Northern Utah</t>
        </is>
      </c>
      <c r="C6" s="37" t="inlineStr">
        <is>
          <t>Self</t>
        </is>
      </c>
      <c r="D6" s="37" t="inlineStr"/>
      <c r="E6" s="37">
        <f>COUNTIF($H$11:$H$11,A6)</f>
        <v/>
      </c>
      <c r="F6" s="38">
        <f>SUMIF($H$11:$H$11,A6,$F$11:$F$11)</f>
        <v/>
      </c>
      <c r="G6" s="39">
        <f>IF($F$12=0,0,F6/$F$12)</f>
        <v/>
      </c>
    </row>
    <row r="7">
      <c r="A7" s="29" t="inlineStr">
        <is>
          <t>TOTAL</t>
        </is>
      </c>
      <c r="B7" s="7" t="n"/>
      <c r="C7" s="7" t="n"/>
      <c r="D7" s="7" t="n"/>
      <c r="E7" s="30">
        <f>SUM(E6:E6)</f>
        <v/>
      </c>
      <c r="F7" s="31">
        <f>SUM(F6:F6)</f>
        <v/>
      </c>
      <c r="G7" s="32">
        <f>SUM(G6:G6)</f>
        <v/>
      </c>
    </row>
    <row r="9">
      <c r="A9" s="15" t="inlineStr">
        <is>
          <t>Opportunities</t>
        </is>
      </c>
    </row>
    <row r="10">
      <c r="A10" s="16" t="inlineStr">
        <is>
          <t>Opportunity</t>
        </is>
      </c>
      <c r="B10" s="16" t="inlineStr">
        <is>
          <t>Sales Team</t>
        </is>
      </c>
      <c r="C10" s="16" t="inlineStr">
        <is>
          <t>Canvasser</t>
        </is>
      </c>
      <c r="D10" s="16" t="inlineStr">
        <is>
          <t>Closer</t>
        </is>
      </c>
      <c r="E10" s="16" t="inlineStr">
        <is>
          <t>Closing Date</t>
        </is>
      </c>
      <c r="F10" s="16" t="inlineStr">
        <is>
          <t>Contract Value</t>
        </is>
      </c>
      <c r="G10" s="16" t="inlineStr">
        <is>
          <t>Downline</t>
        </is>
      </c>
      <c r="H10" s="16" t="inlineStr">
        <is>
          <t>Credited Via</t>
        </is>
      </c>
    </row>
    <row r="11">
      <c r="A11" s="37" t="inlineStr">
        <is>
          <t>Jan Hardman 2 / 2147 S 5900 W</t>
        </is>
      </c>
      <c r="B11" s="37" t="inlineStr">
        <is>
          <t>Northern Utah</t>
        </is>
      </c>
      <c r="C11" s="37" t="inlineStr">
        <is>
          <t>Tanner Crosland</t>
        </is>
      </c>
      <c r="D11" s="37" t="inlineStr">
        <is>
          <t>Todd Hess</t>
        </is>
      </c>
      <c r="E11" s="40" t="n">
        <v>46267</v>
      </c>
      <c r="F11" s="38" t="n">
        <v>2344</v>
      </c>
      <c r="G11" s="37" t="inlineStr">
        <is>
          <t>Self</t>
        </is>
      </c>
      <c r="H11" s="37" t="inlineStr">
        <is>
          <t>Tanner Crosland</t>
        </is>
      </c>
    </row>
    <row r="12">
      <c r="A12" s="29" t="inlineStr">
        <is>
          <t>TOTAL</t>
        </is>
      </c>
      <c r="B12" s="7" t="n"/>
      <c r="C12" s="7" t="n"/>
      <c r="D12" s="7" t="n"/>
      <c r="E12" s="7" t="n"/>
      <c r="F12" s="31">
        <f>SUM(F11:F11)</f>
        <v/>
      </c>
      <c r="G12" s="7" t="n"/>
      <c r="H12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2026-10-13T18:43:33Z</dcterms:created>
  <dcterms:modified xmlns:dcterms="http://purl.org/dc/terms/" xmlns:xsi="http://www.w3.org/2001/XMLSchema-instance" xsi:type="dcterms:W3CDTF">2026-10-13T18:43:33Z</dcterms:modified>
</cp:coreProperties>
</file>