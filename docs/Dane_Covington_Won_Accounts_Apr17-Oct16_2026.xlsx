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e Covington" sheetId="1" state="visible" r:id="rId3"/>
  </sheets>
  <definedNames>
    <definedName function="false" hidden="true" localSheetId="0" name="_xlnm._FilterDatabase" vbProcedure="false">'Dane Covington'!$A$4:$M$81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<sst xmlns="http://schemas.openxmlformats.org/spreadsheetml/2006/main" count="578" uniqueCount="202">
  <si>
    <t xml:space="preserve">Dane Covington - accounts closed (Won) Apr 17 - Oct 16, 2026</t>
  </si>
  <si>
    <t xml:space="preserve">Source: the commission dashboard (Odoo CRM live values, as of Oct 16, 2026). "Contract value" is the value the account was sold and paid on; "Current value" is what Odoo holds today; "Change" is the difference.</t>
  </si>
  <si>
    <t xml:space="preserve">#</t>
  </si>
  <si>
    <t xml:space="preserve">Account</t>
  </si>
  <si>
    <t xml:space="preserve">Closed</t>
  </si>
  <si>
    <t xml:space="preserve">Team</t>
  </si>
  <si>
    <t xml:space="preserve">Setter</t>
  </si>
  <si>
    <t xml:space="preserve">Stage</t>
  </si>
  <si>
    <t xml:space="preserve">Contract value</t>
  </si>
  <si>
    <t xml:space="preserve">Current value (Odoo)</t>
  </si>
  <si>
    <t xml:space="preserve">Change</t>
  </si>
  <si>
    <t xml:space="preserve">Change status</t>
  </si>
  <si>
    <t xml:space="preserve">Pay run</t>
  </si>
  <si>
    <t xml:space="preserve">Vivid Adders</t>
  </si>
  <si>
    <t xml:space="preserve">Odoo</t>
  </si>
  <si>
    <t xml:space="preserve">MISTY REICHARD / 1128 W 1960 S</t>
  </si>
  <si>
    <t xml:space="preserve">2026-05-04</t>
  </si>
  <si>
    <t xml:space="preserve">Northern Utah</t>
  </si>
  <si>
    <t xml:space="preserve">Dane Covington</t>
  </si>
  <si>
    <t xml:space="preserve">Production Complete</t>
  </si>
  <si>
    <t xml:space="preserve">2026-05-15</t>
  </si>
  <si>
    <t xml:space="preserve">open</t>
  </si>
  <si>
    <t xml:space="preserve">Michael Jeffries / 968 N 200 E</t>
  </si>
  <si>
    <t xml:space="preserve">2026-05-05</t>
  </si>
  <si>
    <t xml:space="preserve">Eli Asay</t>
  </si>
  <si>
    <t xml:space="preserve">TAYLOR  WOFFORD / 2355 S 330  E</t>
  </si>
  <si>
    <t xml:space="preserve">2026-05-06</t>
  </si>
  <si>
    <t xml:space="preserve">Bradley Andrus</t>
  </si>
  <si>
    <t xml:space="preserve">2026-05-22</t>
  </si>
  <si>
    <t xml:space="preserve">MATTHEW  WILLIAMS / 1331 Lincoln Heights Dr</t>
  </si>
  <si>
    <t xml:space="preserve">2026-05-08</t>
  </si>
  <si>
    <t xml:space="preserve">Justin Covington</t>
  </si>
  <si>
    <t xml:space="preserve">Collin Chadwick  / 822 Moose St</t>
  </si>
  <si>
    <t xml:space="preserve">Robin Polanski / 1134 Coulson Ave</t>
  </si>
  <si>
    <t xml:space="preserve">2026-05-09</t>
  </si>
  <si>
    <t xml:space="preserve">Michael Jeffries 2 / 968 N 200 E</t>
  </si>
  <si>
    <t xml:space="preserve">Change order pending (not yet applied)</t>
  </si>
  <si>
    <t xml:space="preserve">Julie Johnson / 876 E 1750 N</t>
  </si>
  <si>
    <t xml:space="preserve">2026-05-11</t>
  </si>
  <si>
    <t xml:space="preserve">Rick and Cheryl Cantrell / 1060 N 100 E</t>
  </si>
  <si>
    <t xml:space="preserve">2026-05-14</t>
  </si>
  <si>
    <t xml:space="preserve">Rick Cantrell</t>
  </si>
  <si>
    <t xml:space="preserve">2026-05-29</t>
  </si>
  <si>
    <t xml:space="preserve">HAYDEN  CLARK / 113 W 400  N</t>
  </si>
  <si>
    <t xml:space="preserve">2026-05-16</t>
  </si>
  <si>
    <t xml:space="preserve">Joshua Newswander</t>
  </si>
  <si>
    <t xml:space="preserve">MICHAEL  STEVENS / 1685 N 1500  E</t>
  </si>
  <si>
    <t xml:space="preserve">2026-05-18</t>
  </si>
  <si>
    <t xml:space="preserve">Joshua Bassoo</t>
  </si>
  <si>
    <t xml:space="preserve">Hold Production</t>
  </si>
  <si>
    <t xml:space="preserve">Not found in Odoo as a Won deal today - check</t>
  </si>
  <si>
    <t xml:space="preserve">Sharie Evans  / 160 BRIGGS DR</t>
  </si>
  <si>
    <t xml:space="preserve">2026-05-21</t>
  </si>
  <si>
    <t xml:space="preserve">Jaron Hartshorn</t>
  </si>
  <si>
    <t xml:space="preserve">Service Required</t>
  </si>
  <si>
    <t xml:space="preserve">2026-06-05</t>
  </si>
  <si>
    <t xml:space="preserve">Chris  McGowan / 2516 Lookout Cir</t>
  </si>
  <si>
    <t xml:space="preserve">2026-05-25</t>
  </si>
  <si>
    <t xml:space="preserve">Adrian Xanthos</t>
  </si>
  <si>
    <t xml:space="preserve">Lorraine Schneider / 537 S California St</t>
  </si>
  <si>
    <t xml:space="preserve">2026-05-26</t>
  </si>
  <si>
    <t xml:space="preserve">Troy  Hinck / 410 GEDDIS ST</t>
  </si>
  <si>
    <t xml:space="preserve">Jager Kechely / 713 Touchstone Dr</t>
  </si>
  <si>
    <t xml:space="preserve">2026-05-28</t>
  </si>
  <si>
    <t xml:space="preserve">2026-06-12</t>
  </si>
  <si>
    <t xml:space="preserve">James &amp; Emily  Reed / 200 S COOKE ST</t>
  </si>
  <si>
    <t xml:space="preserve">Brevan Haymond</t>
  </si>
  <si>
    <t xml:space="preserve">Elizabeth Coe / 4 Terry Ct</t>
  </si>
  <si>
    <t xml:space="preserve">Mark Gerl / 700 RED LETTER ST</t>
  </si>
  <si>
    <t xml:space="preserve">Bryan Andersen / 2675 Matyas Ct</t>
  </si>
  <si>
    <t xml:space="preserve">2026-05-30</t>
  </si>
  <si>
    <t xml:space="preserve">Tanner Crosland</t>
  </si>
  <si>
    <t xml:space="preserve">Rita Berlinger / 3649 Sly Rd</t>
  </si>
  <si>
    <t xml:space="preserve">ASHLEY  WINDLE / 727 E 500  N</t>
  </si>
  <si>
    <t xml:space="preserve">2026-06-04</t>
  </si>
  <si>
    <t xml:space="preserve">2026-06-19</t>
  </si>
  <si>
    <t xml:space="preserve">Caitlyn Thayer / 760 Sunrise Ave</t>
  </si>
  <si>
    <t xml:space="preserve">2026-06-09</t>
  </si>
  <si>
    <t xml:space="preserve">FRANK BRAZELTON / 651 E 500  N</t>
  </si>
  <si>
    <t xml:space="preserve">Rex Hall / 110 W 2600 S</t>
  </si>
  <si>
    <t xml:space="preserve">2026-06-26</t>
  </si>
  <si>
    <t xml:space="preserve">Kurt Meyer / 429 Rosewood Dr</t>
  </si>
  <si>
    <t xml:space="preserve">2026-06-13</t>
  </si>
  <si>
    <t xml:space="preserve">Jason Trolson</t>
  </si>
  <si>
    <t xml:space="preserve">Sandy Kurek / 1100 S 200  W</t>
  </si>
  <si>
    <t xml:space="preserve">Brayden Moss</t>
  </si>
  <si>
    <t xml:space="preserve">Judy Smith / 6438 W 5900 S</t>
  </si>
  <si>
    <t xml:space="preserve">2026-07-03</t>
  </si>
  <si>
    <t xml:space="preserve">2026-07-17</t>
  </si>
  <si>
    <t xml:space="preserve">KEVIN MCKEE / 421 Lupine Ln</t>
  </si>
  <si>
    <t xml:space="preserve">2026-07-06</t>
  </si>
  <si>
    <t xml:space="preserve">David Peshek / 1309 Herman Gulch Rd</t>
  </si>
  <si>
    <t xml:space="preserve">2026-07-09</t>
  </si>
  <si>
    <t xml:space="preserve">Carl Crosland</t>
  </si>
  <si>
    <t xml:space="preserve">2026-07-24</t>
  </si>
  <si>
    <t xml:space="preserve">Cindy McCarthy / 110 Larkspur Ln</t>
  </si>
  <si>
    <t xml:space="preserve">Eastern Idaho</t>
  </si>
  <si>
    <t xml:space="preserve">Caleb Fransen</t>
  </si>
  <si>
    <t xml:space="preserve">Will Goldberg / 121 Clover Dr</t>
  </si>
  <si>
    <t xml:space="preserve">2026-07-10</t>
  </si>
  <si>
    <t xml:space="preserve">BENJAMIN GOLDSMITH / 37 Jefferson Dr</t>
  </si>
  <si>
    <t xml:space="preserve">KIMBERLY ADAMS / 5230 W 900 N</t>
  </si>
  <si>
    <t xml:space="preserve">2026-07-16</t>
  </si>
  <si>
    <t xml:space="preserve">2026-07-31</t>
  </si>
  <si>
    <t xml:space="preserve">ETHAN BOOTH / 901 Coolidge St</t>
  </si>
  <si>
    <t xml:space="preserve">2026-07-27</t>
  </si>
  <si>
    <t xml:space="preserve">2026-08-07</t>
  </si>
  <si>
    <t xml:space="preserve">Erica Wright / 733 Dogwood Ave</t>
  </si>
  <si>
    <t xml:space="preserve">2026-07-29</t>
  </si>
  <si>
    <t xml:space="preserve">Camille Gerritsen</t>
  </si>
  <si>
    <t xml:space="preserve">2026-08-14</t>
  </si>
  <si>
    <t xml:space="preserve">Justin Jones / 112 Grandview Ct</t>
  </si>
  <si>
    <t xml:space="preserve">2026-07-30</t>
  </si>
  <si>
    <t xml:space="preserve">Ryan King</t>
  </si>
  <si>
    <t xml:space="preserve">Kenneth Hurd / 7080 McKenzie Loop</t>
  </si>
  <si>
    <t xml:space="preserve">In Production</t>
  </si>
  <si>
    <t xml:space="preserve">SHAWN MCLAURY / 3060 GRIER BLVD</t>
  </si>
  <si>
    <t xml:space="preserve">Craig Boulter / 9781 Yellowstone Rd</t>
  </si>
  <si>
    <t xml:space="preserve">Kay Chapman / 858 Oak Valley Ln</t>
  </si>
  <si>
    <t xml:space="preserve">Margo and Mark Lahiff / 6120 Little Moon Trl</t>
  </si>
  <si>
    <t xml:space="preserve">Blake Holmes</t>
  </si>
  <si>
    <t xml:space="preserve">Jamie Thornock / 1332 6th West Ave</t>
  </si>
  <si>
    <t xml:space="preserve">2026-08-06</t>
  </si>
  <si>
    <t xml:space="preserve">2026-08-21</t>
  </si>
  <si>
    <t xml:space="preserve">Mark Housley / 1805 Dell Rio Dr</t>
  </si>
  <si>
    <t xml:space="preserve">Christina Hunter / 1320 4th West Ave</t>
  </si>
  <si>
    <t xml:space="preserve">Inside Sales</t>
  </si>
  <si>
    <t xml:space="preserve">Jordan Alldredge</t>
  </si>
  <si>
    <t xml:space="preserve">Jeff Gale / 628 N 600 E</t>
  </si>
  <si>
    <t xml:space="preserve">2026-08-10</t>
  </si>
  <si>
    <t xml:space="preserve">Tom Rector / 1920 Deer Run Dr</t>
  </si>
  <si>
    <t xml:space="preserve">2026-08-12</t>
  </si>
  <si>
    <t xml:space="preserve">2026-08-28</t>
  </si>
  <si>
    <t xml:space="preserve">Kelly Blue / 405 Ruby St</t>
  </si>
  <si>
    <t xml:space="preserve">Cade Covington</t>
  </si>
  <si>
    <t xml:space="preserve">Rob Johnke / 1017 Beech Ave</t>
  </si>
  <si>
    <t xml:space="preserve">Marshall Smith / 510 E 9th St</t>
  </si>
  <si>
    <t xml:space="preserve">2026-08-17</t>
  </si>
  <si>
    <t xml:space="preserve">Andres Alcala</t>
  </si>
  <si>
    <t xml:space="preserve">Roxanne and Gary Carsten / 800 Hawkstone Dr</t>
  </si>
  <si>
    <t xml:space="preserve">2026-08-20</t>
  </si>
  <si>
    <t xml:space="preserve">Southern Utah</t>
  </si>
  <si>
    <t xml:space="preserve">Diane Oswald</t>
  </si>
  <si>
    <t xml:space="preserve">2026-09-04</t>
  </si>
  <si>
    <t xml:space="preserve">David Scott Milam / 2082 Fir Dr</t>
  </si>
  <si>
    <t xml:space="preserve">2026-08-25</t>
  </si>
  <si>
    <t xml:space="preserve">Gene Pickell / 919 Adams Ave</t>
  </si>
  <si>
    <t xml:space="preserve">Tony Michele / 5741 Sun Ridge Dr</t>
  </si>
  <si>
    <t xml:space="preserve">2026-08-26</t>
  </si>
  <si>
    <t xml:space="preserve">2026-09-11</t>
  </si>
  <si>
    <t xml:space="preserve">Deborah Phillips / 1745 W Teton Blvd</t>
  </si>
  <si>
    <t xml:space="preserve">Courtney Swanson / 1430 Butte St</t>
  </si>
  <si>
    <t xml:space="preserve">2026-08-27</t>
  </si>
  <si>
    <t xml:space="preserve">Sharon Pribyl / 3916 Harrier Dr</t>
  </si>
  <si>
    <t xml:space="preserve">Taylor Graves / 1121 Sorensen Dr</t>
  </si>
  <si>
    <t xml:space="preserve">Steve Monk / 445 FAITH DR</t>
  </si>
  <si>
    <t xml:space="preserve">2026-08-29</t>
  </si>
  <si>
    <t xml:space="preserve">Tyson Glauser / 1130 Kentucky St</t>
  </si>
  <si>
    <t xml:space="preserve">Lester Huff</t>
  </si>
  <si>
    <t xml:space="preserve">TERSA STOKES / 83 N Deer Mountain Rd</t>
  </si>
  <si>
    <t xml:space="preserve">Celeste Webb / 391 Hillcrest Way</t>
  </si>
  <si>
    <t xml:space="preserve">2026-09-18</t>
  </si>
  <si>
    <t xml:space="preserve">Travis Groberg / 313 Emerson Ave</t>
  </si>
  <si>
    <t xml:space="preserve">2026-09-05</t>
  </si>
  <si>
    <t xml:space="preserve">Tami Ellis / 130 Briarwood Ln</t>
  </si>
  <si>
    <t xml:space="preserve">2026-09-13</t>
  </si>
  <si>
    <t xml:space="preserve">2026-09-25</t>
  </si>
  <si>
    <t xml:space="preserve">James Burdick / 1902 Wilder Ave</t>
  </si>
  <si>
    <t xml:space="preserve">Brian Morris / 2102 Turmaline Ct</t>
  </si>
  <si>
    <t xml:space="preserve">2026-09-14</t>
  </si>
  <si>
    <t xml:space="preserve">Mike Bakke / 1122 Choteau St</t>
  </si>
  <si>
    <t xml:space="preserve">Jennifer Listerud / 3243 Harness Loop</t>
  </si>
  <si>
    <t xml:space="preserve">2026-09-15</t>
  </si>
  <si>
    <t xml:space="preserve">Shawn Harding</t>
  </si>
  <si>
    <t xml:space="preserve">Marshall Peterson / 2635 Sundance Dr</t>
  </si>
  <si>
    <t xml:space="preserve">2026-09-17</t>
  </si>
  <si>
    <t xml:space="preserve">Isabella Basanta</t>
  </si>
  <si>
    <t xml:space="preserve">2026-10-02</t>
  </si>
  <si>
    <t xml:space="preserve">Kathleenn Koford / 15 S Raleigh St</t>
  </si>
  <si>
    <t xml:space="preserve">Bryant Gauthier / 1827 Hollins Ave</t>
  </si>
  <si>
    <t xml:space="preserve">2026-09-19</t>
  </si>
  <si>
    <t xml:space="preserve">Joshua Fraley / 3825 Remington St</t>
  </si>
  <si>
    <t xml:space="preserve">Kirsten Madsen / 703 8th Ave</t>
  </si>
  <si>
    <t xml:space="preserve">2026-09-22</t>
  </si>
  <si>
    <t xml:space="preserve">Sandy Kurek 2 / 1100 S 200 W</t>
  </si>
  <si>
    <t xml:space="preserve">2026-09-29</t>
  </si>
  <si>
    <t xml:space="preserve">2026-10-09</t>
  </si>
  <si>
    <t xml:space="preserve">Becky Schmeiser / 44 N 100 W</t>
  </si>
  <si>
    <t xml:space="preserve">2026-10-08</t>
  </si>
  <si>
    <t xml:space="preserve">2026-10-23</t>
  </si>
  <si>
    <t xml:space="preserve">James Payne / 354 W 300 N</t>
  </si>
  <si>
    <t xml:space="preserve">Daniel Maynes / 287 S Daffey Dr</t>
  </si>
  <si>
    <t xml:space="preserve">2026-10-10</t>
  </si>
  <si>
    <t xml:space="preserve">TOTAL - 77 accounts standing</t>
  </si>
  <si>
    <t xml:space="preserve">Won, since cancelled (customer cancelled after the sale)</t>
  </si>
  <si>
    <t xml:space="preserve">Phylicia Rasdall / 1815 Virginia Dr</t>
  </si>
  <si>
    <t xml:space="preserve">Leads</t>
  </si>
  <si>
    <t xml:space="preserve">Cancelled - commission paid, not clawed back</t>
  </si>
  <si>
    <t xml:space="preserve">Melanee Litz / 1700 Virginia Dr</t>
  </si>
  <si>
    <t xml:space="preserve">Cancelled - 2 accounts</t>
  </si>
  <si>
    <t xml:space="preserve">ALL ACCOUNTS WON IN THE PERIOD</t>
  </si>
  <si>
    <t xml:space="preserve">Yellow rows: the contract value in Odoo differs from the value the commission was paid on (a change order the dashboard has queued). Red rows: the job was cancelled after the commission went out.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</si>
</sst>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[RED]&quot;-$&quot;#,##0.00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1F3A5F"/>
      </patternFill>
    </fill>
    <fill>
      <patternFill patternType="solid">
        <fgColor rgb="FFFFF2CC"/>
        <bgColor rgb="FFFFFFFF"/>
      </patternFill>
    </fill>
    <fill>
      <patternFill patternType="solid">
        <fgColor rgb="FFD9F2D0"/>
        <bgColor rgb="FFCCFFFF"/>
      </patternFill>
    </fill>
    <fill>
      <patternFill patternType="solid">
        <fgColor rgb="FFF8D7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yvivid.odoo.com/odoo/crm/3296" TargetMode="External"/><Relationship Id="rId2" Type="http://schemas.openxmlformats.org/officeDocument/2006/relationships/hyperlink" Target="https://myvivid.odoo.com/odoo/crm/3311" TargetMode="External"/><Relationship Id="rId3" Type="http://schemas.openxmlformats.org/officeDocument/2006/relationships/hyperlink" Target="https://myvivid.odoo.com/odoo/crm/3250" TargetMode="External"/><Relationship Id="rId4" Type="http://schemas.openxmlformats.org/officeDocument/2006/relationships/hyperlink" Target="https://myvivid.odoo.com/odoo/crm/3358" TargetMode="External"/><Relationship Id="rId5" Type="http://schemas.openxmlformats.org/officeDocument/2006/relationships/hyperlink" Target="https://myvivid.odoo.com/odoo/crm/3360" TargetMode="External"/><Relationship Id="rId6" Type="http://schemas.openxmlformats.org/officeDocument/2006/relationships/hyperlink" Target="https://myvivid.odoo.com/odoo/crm/3401" TargetMode="External"/><Relationship Id="rId7" Type="http://schemas.openxmlformats.org/officeDocument/2006/relationships/hyperlink" Target="https://myvivid.odoo.com/odoo/crm/3400" TargetMode="External"/><Relationship Id="rId8" Type="http://schemas.openxmlformats.org/officeDocument/2006/relationships/hyperlink" Target="https://myvivid.odoo.com/odoo/crm/3415" TargetMode="External"/><Relationship Id="rId9" Type="http://schemas.openxmlformats.org/officeDocument/2006/relationships/hyperlink" Target="https://myvivid.odoo.com/odoo/crm/3444" TargetMode="External"/><Relationship Id="rId10" Type="http://schemas.openxmlformats.org/officeDocument/2006/relationships/hyperlink" Target="https://myvivid.odoo.com/odoo/crm/3476" TargetMode="External"/><Relationship Id="rId11" Type="http://schemas.openxmlformats.org/officeDocument/2006/relationships/hyperlink" Target="https://myvivid.odoo.com/odoo/crm/3516" TargetMode="External"/><Relationship Id="rId12" Type="http://schemas.openxmlformats.org/officeDocument/2006/relationships/hyperlink" Target="https://myvivid.odoo.com/odoo/crm/3547" TargetMode="External"/><Relationship Id="rId13" Type="http://schemas.openxmlformats.org/officeDocument/2006/relationships/hyperlink" Target="https://myvivid.odoo.com/odoo/crm/3579" TargetMode="External"/><Relationship Id="rId14" Type="http://schemas.openxmlformats.org/officeDocument/2006/relationships/hyperlink" Target="https://myvivid.odoo.com/odoo/crm/3575" TargetMode="External"/><Relationship Id="rId15" Type="http://schemas.openxmlformats.org/officeDocument/2006/relationships/hyperlink" Target="https://myvivid.odoo.com/odoo/crm/3639" TargetMode="External"/><Relationship Id="rId16" Type="http://schemas.openxmlformats.org/officeDocument/2006/relationships/hyperlink" Target="https://myvivid.odoo.com/odoo/crm/3647" TargetMode="External"/><Relationship Id="rId17" Type="http://schemas.openxmlformats.org/officeDocument/2006/relationships/hyperlink" Target="https://myvivid.odoo.com/odoo/crm/3670" TargetMode="External"/><Relationship Id="rId18" Type="http://schemas.openxmlformats.org/officeDocument/2006/relationships/hyperlink" Target="https://myvivid.odoo.com/odoo/crm/3549" TargetMode="External"/><Relationship Id="rId19" Type="http://schemas.openxmlformats.org/officeDocument/2006/relationships/hyperlink" Target="https://myvivid.odoo.com/odoo/crm/3747" TargetMode="External"/><Relationship Id="rId20" Type="http://schemas.openxmlformats.org/officeDocument/2006/relationships/hyperlink" Target="https://myvivid.odoo.com/odoo/crm/3726" TargetMode="External"/><Relationship Id="rId21" Type="http://schemas.openxmlformats.org/officeDocument/2006/relationships/hyperlink" Target="https://myvivid.odoo.com/odoo/crm/3788" TargetMode="External"/><Relationship Id="rId22" Type="http://schemas.openxmlformats.org/officeDocument/2006/relationships/hyperlink" Target="https://myvivid.odoo.com/odoo/crm/3824" TargetMode="External"/><Relationship Id="rId23" Type="http://schemas.openxmlformats.org/officeDocument/2006/relationships/hyperlink" Target="https://myvivid.odoo.com/odoo/crm/3813" TargetMode="External"/><Relationship Id="rId24" Type="http://schemas.openxmlformats.org/officeDocument/2006/relationships/hyperlink" Target="https://myvivid.odoo.com/odoo/crm/3883" TargetMode="External"/><Relationship Id="rId25" Type="http://schemas.openxmlformats.org/officeDocument/2006/relationships/hyperlink" Target="https://myvivid.odoo.com/odoo/crm/3903" TargetMode="External"/><Relationship Id="rId26" Type="http://schemas.openxmlformats.org/officeDocument/2006/relationships/hyperlink" Target="https://myvivid.odoo.com/odoo/crm/3894" TargetMode="External"/><Relationship Id="rId27" Type="http://schemas.openxmlformats.org/officeDocument/2006/relationships/hyperlink" Target="https://myvivid.odoo.com/odoo/crm/4108" TargetMode="External"/><Relationship Id="rId28" Type="http://schemas.openxmlformats.org/officeDocument/2006/relationships/hyperlink" Target="https://myvivid.odoo.com/odoo/crm/4119" TargetMode="External"/><Relationship Id="rId29" Type="http://schemas.openxmlformats.org/officeDocument/2006/relationships/hyperlink" Target="https://myvivid.odoo.com/odoo/crm/4166" TargetMode="External"/><Relationship Id="rId30" Type="http://schemas.openxmlformats.org/officeDocument/2006/relationships/hyperlink" Target="https://myvivid.odoo.com/odoo/crm/4157" TargetMode="External"/><Relationship Id="rId31" Type="http://schemas.openxmlformats.org/officeDocument/2006/relationships/hyperlink" Target="https://myvivid.odoo.com/odoo/crm/4214" TargetMode="External"/><Relationship Id="rId32" Type="http://schemas.openxmlformats.org/officeDocument/2006/relationships/hyperlink" Target="https://myvivid.odoo.com/odoo/crm/4180" TargetMode="External"/><Relationship Id="rId33" Type="http://schemas.openxmlformats.org/officeDocument/2006/relationships/hyperlink" Target="https://myvivid.odoo.com/odoo/crm/3996" TargetMode="External"/><Relationship Id="rId34" Type="http://schemas.openxmlformats.org/officeDocument/2006/relationships/hyperlink" Target="https://myvivid.odoo.com/odoo/crm/4426" TargetMode="External"/><Relationship Id="rId35" Type="http://schemas.openxmlformats.org/officeDocument/2006/relationships/hyperlink" Target="https://myvivid.odoo.com/odoo/crm/4486" TargetMode="External"/><Relationship Id="rId36" Type="http://schemas.openxmlformats.org/officeDocument/2006/relationships/hyperlink" Target="https://myvivid.odoo.com/odoo/crm/4498" TargetMode="External"/><Relationship Id="rId37" Type="http://schemas.openxmlformats.org/officeDocument/2006/relationships/hyperlink" Target="https://myvivid.odoo.com/odoo/crm/4493" TargetMode="External"/><Relationship Id="rId38" Type="http://schemas.openxmlformats.org/officeDocument/2006/relationships/hyperlink" Target="https://myvivid.odoo.com/odoo/crm/4492" TargetMode="External"/><Relationship Id="rId39" Type="http://schemas.openxmlformats.org/officeDocument/2006/relationships/hyperlink" Target="https://myvivid.odoo.com/odoo/crm/4516" TargetMode="External"/><Relationship Id="rId40" Type="http://schemas.openxmlformats.org/officeDocument/2006/relationships/hyperlink" Target="https://myvivid.odoo.com/odoo/crm/4528" TargetMode="External"/><Relationship Id="rId41" Type="http://schemas.openxmlformats.org/officeDocument/2006/relationships/hyperlink" Target="https://myvivid.odoo.com/odoo/crm/4521" TargetMode="External"/><Relationship Id="rId42" Type="http://schemas.openxmlformats.org/officeDocument/2006/relationships/hyperlink" Target="https://myvivid.odoo.com/odoo/crm/4628" TargetMode="External"/><Relationship Id="rId43" Type="http://schemas.openxmlformats.org/officeDocument/2006/relationships/hyperlink" Target="https://myvivid.odoo.com/odoo/crm/4612" TargetMode="External"/><Relationship Id="rId44" Type="http://schemas.openxmlformats.org/officeDocument/2006/relationships/hyperlink" Target="https://myvivid.odoo.com/odoo/crm/4577" TargetMode="External"/><Relationship Id="rId45" Type="http://schemas.openxmlformats.org/officeDocument/2006/relationships/hyperlink" Target="https://myvivid.odoo.com/odoo/crm/4729" TargetMode="External"/><Relationship Id="rId46" Type="http://schemas.openxmlformats.org/officeDocument/2006/relationships/hyperlink" Target="https://myvivid.odoo.com/odoo/crm/4726" TargetMode="External"/><Relationship Id="rId47" Type="http://schemas.openxmlformats.org/officeDocument/2006/relationships/hyperlink" Target="https://myvivid.odoo.com/odoo/crm/4755" TargetMode="External"/><Relationship Id="rId48" Type="http://schemas.openxmlformats.org/officeDocument/2006/relationships/hyperlink" Target="https://myvivid.odoo.com/odoo/crm/4773" TargetMode="External"/><Relationship Id="rId49" Type="http://schemas.openxmlformats.org/officeDocument/2006/relationships/hyperlink" Target="https://myvivid.odoo.com/odoo/crm/4869" TargetMode="External"/><Relationship Id="rId50" Type="http://schemas.openxmlformats.org/officeDocument/2006/relationships/hyperlink" Target="https://myvivid.odoo.com/odoo/crm/5022" TargetMode="External"/><Relationship Id="rId51" Type="http://schemas.openxmlformats.org/officeDocument/2006/relationships/hyperlink" Target="https://myvivid.odoo.com/odoo/crm/5167" TargetMode="External"/><Relationship Id="rId52" Type="http://schemas.openxmlformats.org/officeDocument/2006/relationships/hyperlink" Target="https://myvivid.odoo.com/odoo/crm/5129" TargetMode="External"/><Relationship Id="rId53" Type="http://schemas.openxmlformats.org/officeDocument/2006/relationships/hyperlink" Target="https://myvivid.odoo.com/odoo/crm/5190" TargetMode="External"/><Relationship Id="rId54" Type="http://schemas.openxmlformats.org/officeDocument/2006/relationships/hyperlink" Target="https://myvivid.odoo.com/odoo/crm/5192" TargetMode="External"/><Relationship Id="rId55" Type="http://schemas.openxmlformats.org/officeDocument/2006/relationships/hyperlink" Target="https://myvivid.odoo.com/odoo/crm/5209" TargetMode="External"/><Relationship Id="rId56" Type="http://schemas.openxmlformats.org/officeDocument/2006/relationships/hyperlink" Target="https://myvivid.odoo.com/odoo/crm/5239" TargetMode="External"/><Relationship Id="rId57" Type="http://schemas.openxmlformats.org/officeDocument/2006/relationships/hyperlink" Target="https://myvivid.odoo.com/odoo/crm/4837" TargetMode="External"/><Relationship Id="rId58" Type="http://schemas.openxmlformats.org/officeDocument/2006/relationships/hyperlink" Target="https://myvivid.odoo.com/odoo/crm/5258" TargetMode="External"/><Relationship Id="rId59" Type="http://schemas.openxmlformats.org/officeDocument/2006/relationships/hyperlink" Target="https://myvivid.odoo.com/odoo/crm/5259" TargetMode="External"/><Relationship Id="rId60" Type="http://schemas.openxmlformats.org/officeDocument/2006/relationships/hyperlink" Target="https://myvivid.odoo.com/odoo/crm/5265" TargetMode="External"/><Relationship Id="rId61" Type="http://schemas.openxmlformats.org/officeDocument/2006/relationships/hyperlink" Target="https://myvivid.odoo.com/odoo/crm/5310" TargetMode="External"/><Relationship Id="rId62" Type="http://schemas.openxmlformats.org/officeDocument/2006/relationships/hyperlink" Target="https://myvivid.odoo.com/odoo/crm/5329" TargetMode="External"/><Relationship Id="rId63" Type="http://schemas.openxmlformats.org/officeDocument/2006/relationships/hyperlink" Target="https://myvivid.odoo.com/odoo/crm/5411" TargetMode="External"/><Relationship Id="rId64" Type="http://schemas.openxmlformats.org/officeDocument/2006/relationships/hyperlink" Target="https://myvivid.odoo.com/odoo/crm/5402" TargetMode="External"/><Relationship Id="rId65" Type="http://schemas.openxmlformats.org/officeDocument/2006/relationships/hyperlink" Target="https://myvivid.odoo.com/odoo/crm/5431" TargetMode="External"/><Relationship Id="rId66" Type="http://schemas.openxmlformats.org/officeDocument/2006/relationships/hyperlink" Target="https://myvivid.odoo.com/odoo/crm/5394" TargetMode="External"/><Relationship Id="rId67" Type="http://schemas.openxmlformats.org/officeDocument/2006/relationships/hyperlink" Target="https://myvivid.odoo.com/odoo/crm/5452" TargetMode="External"/><Relationship Id="rId68" Type="http://schemas.openxmlformats.org/officeDocument/2006/relationships/hyperlink" Target="https://myvivid.odoo.com/odoo/crm/5498" TargetMode="External"/><Relationship Id="rId69" Type="http://schemas.openxmlformats.org/officeDocument/2006/relationships/hyperlink" Target="https://myvivid.odoo.com/odoo/crm/5521" TargetMode="External"/><Relationship Id="rId70" Type="http://schemas.openxmlformats.org/officeDocument/2006/relationships/hyperlink" Target="https://myvivid.odoo.com/odoo/crm/5404" TargetMode="External"/><Relationship Id="rId71" Type="http://schemas.openxmlformats.org/officeDocument/2006/relationships/hyperlink" Target="https://myvivid.odoo.com/odoo/crm/5497" TargetMode="External"/><Relationship Id="rId72" Type="http://schemas.openxmlformats.org/officeDocument/2006/relationships/hyperlink" Target="https://myvivid.odoo.com/odoo/crm/5384" TargetMode="External"/><Relationship Id="rId73" Type="http://schemas.openxmlformats.org/officeDocument/2006/relationships/hyperlink" Target="https://myvivid.odoo.com/odoo/crm/5688" TargetMode="External"/><Relationship Id="rId74" Type="http://schemas.openxmlformats.org/officeDocument/2006/relationships/hyperlink" Target="https://myvivid.odoo.com/odoo/crm/5784" TargetMode="External"/><Relationship Id="rId75" Type="http://schemas.openxmlformats.org/officeDocument/2006/relationships/hyperlink" Target="https://myvivid.odoo.com/odoo/crm/5800" TargetMode="External"/><Relationship Id="rId76" Type="http://schemas.openxmlformats.org/officeDocument/2006/relationships/hyperlink" Target="https://myvivid.odoo.com/odoo/crm/5814" TargetMode="External"/><Relationship Id="rId77" Type="http://schemas.openxmlformats.org/officeDocument/2006/relationships/hyperlink" Target="https://myvivid.odoo.com/odoo/crm/5195" TargetMode="External"/><Relationship Id="rId78" Type="http://schemas.openxmlformats.org/officeDocument/2006/relationships/hyperlink" Target="https://myvivid.odoo.com/odoo/crm/5252" TargetMode="External"/><Relationship Id="rId7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2" min="11" style="0" width="12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n">
        <v>1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n">
        <v>15845</v>
      </c>
      <c r="H5" s="5" t="n">
        <v>15845</v>
      </c>
      <c r="I5" s="5" t="n">
        <f aca="false">H5-G5</f>
        <v>0</v>
      </c>
      <c r="J5" s="4"/>
      <c r="K5" s="4" t="s">
        <v>20</v>
      </c>
      <c r="L5" s="4" t="n">
        <v>0</v>
      </c>
      <c r="M5" s="6" t="s">
        <v>21</v>
      </c>
    </row>
    <row r="6" customFormat="false" ht="15" hidden="false" customHeight="false" outlineLevel="0" collapsed="false">
      <c r="A6" s="4" t="n">
        <v>2</v>
      </c>
      <c r="B6" s="4" t="s">
        <v>22</v>
      </c>
      <c r="C6" s="4" t="s">
        <v>23</v>
      </c>
      <c r="D6" s="4" t="s">
        <v>17</v>
      </c>
      <c r="E6" s="4" t="s">
        <v>24</v>
      </c>
      <c r="F6" s="4" t="s">
        <v>19</v>
      </c>
      <c r="G6" s="5" t="n">
        <v>15901</v>
      </c>
      <c r="H6" s="5" t="n">
        <v>15901</v>
      </c>
      <c r="I6" s="5" t="n">
        <f aca="false">H6-G6</f>
        <v>0</v>
      </c>
      <c r="J6" s="4"/>
      <c r="K6" s="4" t="s">
        <v>20</v>
      </c>
      <c r="L6" s="4" t="n">
        <v>0</v>
      </c>
      <c r="M6" s="6" t="s">
        <v>21</v>
      </c>
    </row>
    <row r="7" customFormat="false" ht="15" hidden="false" customHeight="false" outlineLevel="0" collapsed="false">
      <c r="A7" s="4" t="n">
        <v>3</v>
      </c>
      <c r="B7" s="4" t="s">
        <v>25</v>
      </c>
      <c r="C7" s="4" t="s">
        <v>26</v>
      </c>
      <c r="D7" s="4" t="s">
        <v>17</v>
      </c>
      <c r="E7" s="4" t="s">
        <v>27</v>
      </c>
      <c r="F7" s="4" t="s">
        <v>19</v>
      </c>
      <c r="G7" s="5" t="n">
        <v>5487</v>
      </c>
      <c r="H7" s="5" t="n">
        <v>5487</v>
      </c>
      <c r="I7" s="5" t="n">
        <f aca="false">H7-G7</f>
        <v>0</v>
      </c>
      <c r="J7" s="4"/>
      <c r="K7" s="4" t="s">
        <v>28</v>
      </c>
      <c r="L7" s="4" t="n">
        <v>0</v>
      </c>
      <c r="M7" s="6" t="s">
        <v>21</v>
      </c>
    </row>
    <row r="8" customFormat="false" ht="15" hidden="false" customHeight="false" outlineLevel="0" collapsed="false">
      <c r="A8" s="4" t="n">
        <v>4</v>
      </c>
      <c r="B8" s="4" t="s">
        <v>29</v>
      </c>
      <c r="C8" s="4" t="s">
        <v>30</v>
      </c>
      <c r="D8" s="4" t="s">
        <v>17</v>
      </c>
      <c r="E8" s="4" t="s">
        <v>31</v>
      </c>
      <c r="F8" s="4" t="s">
        <v>19</v>
      </c>
      <c r="G8" s="5" t="n">
        <v>5962</v>
      </c>
      <c r="H8" s="5" t="n">
        <v>5962</v>
      </c>
      <c r="I8" s="5" t="n">
        <f aca="false">H8-G8</f>
        <v>0</v>
      </c>
      <c r="J8" s="4"/>
      <c r="K8" s="4" t="s">
        <v>28</v>
      </c>
      <c r="L8" s="4" t="n">
        <v>0</v>
      </c>
      <c r="M8" s="6" t="s">
        <v>21</v>
      </c>
    </row>
    <row r="9" customFormat="false" ht="15" hidden="false" customHeight="false" outlineLevel="0" collapsed="false">
      <c r="A9" s="4" t="n">
        <v>5</v>
      </c>
      <c r="B9" s="4" t="s">
        <v>32</v>
      </c>
      <c r="C9" s="4" t="s">
        <v>30</v>
      </c>
      <c r="D9" s="4" t="s">
        <v>17</v>
      </c>
      <c r="E9" s="4" t="s">
        <v>31</v>
      </c>
      <c r="F9" s="4" t="s">
        <v>19</v>
      </c>
      <c r="G9" s="5" t="n">
        <v>19290</v>
      </c>
      <c r="H9" s="5" t="n">
        <v>19290</v>
      </c>
      <c r="I9" s="5" t="n">
        <f aca="false">H9-G9</f>
        <v>0</v>
      </c>
      <c r="J9" s="4"/>
      <c r="K9" s="4" t="s">
        <v>28</v>
      </c>
      <c r="L9" s="4" t="n">
        <v>0</v>
      </c>
      <c r="M9" s="6" t="s">
        <v>21</v>
      </c>
    </row>
    <row r="10" customFormat="false" ht="15" hidden="false" customHeight="false" outlineLevel="0" collapsed="false">
      <c r="A10" s="4" t="n">
        <v>6</v>
      </c>
      <c r="B10" s="4" t="s">
        <v>33</v>
      </c>
      <c r="C10" s="4" t="s">
        <v>34</v>
      </c>
      <c r="D10" s="4" t="s">
        <v>17</v>
      </c>
      <c r="E10" s="4" t="s">
        <v>24</v>
      </c>
      <c r="F10" s="4" t="s">
        <v>19</v>
      </c>
      <c r="G10" s="5" t="n">
        <v>16222</v>
      </c>
      <c r="H10" s="5" t="n">
        <v>16222</v>
      </c>
      <c r="I10" s="5" t="n">
        <f aca="false">H10-G10</f>
        <v>0</v>
      </c>
      <c r="J10" s="4"/>
      <c r="K10" s="4" t="s">
        <v>28</v>
      </c>
      <c r="L10" s="4" t="n">
        <v>0</v>
      </c>
      <c r="M10" s="6" t="s">
        <v>21</v>
      </c>
    </row>
    <row r="11" customFormat="false" ht="15" hidden="false" customHeight="false" outlineLevel="0" collapsed="false">
      <c r="A11" s="7" t="n">
        <v>7</v>
      </c>
      <c r="B11" s="7" t="s">
        <v>35</v>
      </c>
      <c r="C11" s="7" t="s">
        <v>34</v>
      </c>
      <c r="D11" s="7" t="s">
        <v>17</v>
      </c>
      <c r="E11" s="7" t="s">
        <v>24</v>
      </c>
      <c r="F11" s="7" t="s">
        <v>19</v>
      </c>
      <c r="G11" s="8" t="n">
        <v>4455</v>
      </c>
      <c r="H11" s="8" t="n">
        <v>3727.5</v>
      </c>
      <c r="I11" s="8" t="n">
        <f aca="false">H11-G11</f>
        <v>-727.5</v>
      </c>
      <c r="J11" s="7" t="s">
        <v>36</v>
      </c>
      <c r="K11" s="7" t="s">
        <v>28</v>
      </c>
      <c r="L11" s="7" t="n">
        <v>0</v>
      </c>
      <c r="M11" s="9" t="s">
        <v>21</v>
      </c>
    </row>
    <row r="12" customFormat="false" ht="15" hidden="false" customHeight="false" outlineLevel="0" collapsed="false">
      <c r="A12" s="4" t="n">
        <v>8</v>
      </c>
      <c r="B12" s="4" t="s">
        <v>37</v>
      </c>
      <c r="C12" s="4" t="s">
        <v>38</v>
      </c>
      <c r="D12" s="4" t="s">
        <v>17</v>
      </c>
      <c r="E12" s="4" t="s">
        <v>18</v>
      </c>
      <c r="F12" s="4" t="s">
        <v>19</v>
      </c>
      <c r="G12" s="5" t="n">
        <v>25004</v>
      </c>
      <c r="H12" s="5" t="n">
        <v>25004</v>
      </c>
      <c r="I12" s="5" t="n">
        <f aca="false">H12-G12</f>
        <v>0</v>
      </c>
      <c r="J12" s="4"/>
      <c r="K12" s="4" t="s">
        <v>28</v>
      </c>
      <c r="L12" s="4" t="n">
        <v>0</v>
      </c>
      <c r="M12" s="6" t="s">
        <v>21</v>
      </c>
    </row>
    <row r="13" customFormat="false" ht="15" hidden="false" customHeight="false" outlineLevel="0" collapsed="false">
      <c r="A13" s="4" t="n">
        <v>9</v>
      </c>
      <c r="B13" s="4" t="s">
        <v>39</v>
      </c>
      <c r="C13" s="4" t="s">
        <v>40</v>
      </c>
      <c r="D13" s="4" t="s">
        <v>17</v>
      </c>
      <c r="E13" s="4" t="s">
        <v>41</v>
      </c>
      <c r="F13" s="4" t="s">
        <v>19</v>
      </c>
      <c r="G13" s="5" t="n">
        <v>18726</v>
      </c>
      <c r="H13" s="5" t="n">
        <v>18726</v>
      </c>
      <c r="I13" s="5" t="n">
        <f aca="false">H13-G13</f>
        <v>0</v>
      </c>
      <c r="J13" s="4"/>
      <c r="K13" s="4" t="s">
        <v>42</v>
      </c>
      <c r="L13" s="4" t="n">
        <v>0</v>
      </c>
      <c r="M13" s="6" t="s">
        <v>21</v>
      </c>
    </row>
    <row r="14" customFormat="false" ht="15" hidden="false" customHeight="false" outlineLevel="0" collapsed="false">
      <c r="A14" s="4" t="n">
        <v>10</v>
      </c>
      <c r="B14" s="4" t="s">
        <v>43</v>
      </c>
      <c r="C14" s="4" t="s">
        <v>44</v>
      </c>
      <c r="D14" s="4" t="s">
        <v>17</v>
      </c>
      <c r="E14" s="4" t="s">
        <v>45</v>
      </c>
      <c r="F14" s="4" t="s">
        <v>19</v>
      </c>
      <c r="G14" s="5" t="n">
        <v>10673</v>
      </c>
      <c r="H14" s="5" t="n">
        <v>10673</v>
      </c>
      <c r="I14" s="5" t="n">
        <f aca="false">H14-G14</f>
        <v>0</v>
      </c>
      <c r="J14" s="4"/>
      <c r="K14" s="4" t="s">
        <v>42</v>
      </c>
      <c r="L14" s="4" t="n">
        <v>0</v>
      </c>
      <c r="M14" s="6" t="s">
        <v>21</v>
      </c>
    </row>
    <row r="15" customFormat="false" ht="15" hidden="false" customHeight="false" outlineLevel="0" collapsed="false">
      <c r="A15" s="4" t="n">
        <v>11</v>
      </c>
      <c r="B15" s="4" t="s">
        <v>46</v>
      </c>
      <c r="C15" s="4" t="s">
        <v>47</v>
      </c>
      <c r="D15" s="4" t="s">
        <v>17</v>
      </c>
      <c r="E15" s="4" t="s">
        <v>48</v>
      </c>
      <c r="F15" s="4" t="s">
        <v>49</v>
      </c>
      <c r="G15" s="5" t="n">
        <v>9918</v>
      </c>
      <c r="H15" s="5" t="n">
        <v>9918</v>
      </c>
      <c r="I15" s="5" t="n">
        <f aca="false">H15-G15</f>
        <v>0</v>
      </c>
      <c r="J15" s="4" t="s">
        <v>50</v>
      </c>
      <c r="K15" s="4" t="s">
        <v>42</v>
      </c>
      <c r="L15" s="4" t="n">
        <v>0</v>
      </c>
      <c r="M15" s="4"/>
    </row>
    <row r="16" customFormat="false" ht="15" hidden="false" customHeight="false" outlineLevel="0" collapsed="false">
      <c r="A16" s="4" t="n">
        <v>12</v>
      </c>
      <c r="B16" s="4" t="s">
        <v>51</v>
      </c>
      <c r="C16" s="4" t="s">
        <v>52</v>
      </c>
      <c r="D16" s="4" t="s">
        <v>17</v>
      </c>
      <c r="E16" s="4" t="s">
        <v>53</v>
      </c>
      <c r="F16" s="4" t="s">
        <v>54</v>
      </c>
      <c r="G16" s="5" t="n">
        <v>12526</v>
      </c>
      <c r="H16" s="5" t="n">
        <v>12526</v>
      </c>
      <c r="I16" s="5" t="n">
        <f aca="false">H16-G16</f>
        <v>0</v>
      </c>
      <c r="J16" s="4"/>
      <c r="K16" s="4" t="s">
        <v>55</v>
      </c>
      <c r="L16" s="4" t="n">
        <v>0</v>
      </c>
      <c r="M16" s="6" t="s">
        <v>21</v>
      </c>
    </row>
    <row r="17" customFormat="false" ht="15" hidden="false" customHeight="false" outlineLevel="0" collapsed="false">
      <c r="A17" s="4" t="n">
        <v>13</v>
      </c>
      <c r="B17" s="4" t="s">
        <v>56</v>
      </c>
      <c r="C17" s="4" t="s">
        <v>57</v>
      </c>
      <c r="D17" s="4" t="s">
        <v>17</v>
      </c>
      <c r="E17" s="4" t="s">
        <v>58</v>
      </c>
      <c r="F17" s="4" t="s">
        <v>19</v>
      </c>
      <c r="G17" s="5" t="n">
        <v>46606</v>
      </c>
      <c r="H17" s="5" t="n">
        <v>46606</v>
      </c>
      <c r="I17" s="5" t="n">
        <f aca="false">H17-G17</f>
        <v>0</v>
      </c>
      <c r="J17" s="4"/>
      <c r="K17" s="4" t="s">
        <v>55</v>
      </c>
      <c r="L17" s="4" t="n">
        <v>0</v>
      </c>
      <c r="M17" s="6" t="s">
        <v>21</v>
      </c>
    </row>
    <row r="18" customFormat="false" ht="15" hidden="false" customHeight="false" outlineLevel="0" collapsed="false">
      <c r="A18" s="4" t="n">
        <v>14</v>
      </c>
      <c r="B18" s="4" t="s">
        <v>59</v>
      </c>
      <c r="C18" s="4" t="s">
        <v>60</v>
      </c>
      <c r="D18" s="4" t="s">
        <v>17</v>
      </c>
      <c r="E18" s="4" t="s">
        <v>53</v>
      </c>
      <c r="F18" s="4" t="s">
        <v>19</v>
      </c>
      <c r="G18" s="5" t="n">
        <v>10130</v>
      </c>
      <c r="H18" s="5" t="n">
        <v>10130</v>
      </c>
      <c r="I18" s="5" t="n">
        <f aca="false">H18-G18</f>
        <v>0</v>
      </c>
      <c r="J18" s="4"/>
      <c r="K18" s="4" t="s">
        <v>55</v>
      </c>
      <c r="L18" s="4" t="n">
        <v>0</v>
      </c>
      <c r="M18" s="6" t="s">
        <v>21</v>
      </c>
    </row>
    <row r="19" customFormat="false" ht="15" hidden="false" customHeight="false" outlineLevel="0" collapsed="false">
      <c r="A19" s="4" t="n">
        <v>15</v>
      </c>
      <c r="B19" s="4" t="s">
        <v>61</v>
      </c>
      <c r="C19" s="4" t="s">
        <v>60</v>
      </c>
      <c r="D19" s="4" t="s">
        <v>17</v>
      </c>
      <c r="E19" s="4" t="s">
        <v>48</v>
      </c>
      <c r="F19" s="4" t="s">
        <v>19</v>
      </c>
      <c r="G19" s="5" t="n">
        <v>5616</v>
      </c>
      <c r="H19" s="5" t="n">
        <v>5616</v>
      </c>
      <c r="I19" s="5" t="n">
        <f aca="false">H19-G19</f>
        <v>0</v>
      </c>
      <c r="J19" s="4"/>
      <c r="K19" s="4" t="s">
        <v>55</v>
      </c>
      <c r="L19" s="4" t="n">
        <v>0</v>
      </c>
      <c r="M19" s="6" t="s">
        <v>21</v>
      </c>
    </row>
    <row r="20" customFormat="false" ht="15" hidden="false" customHeight="false" outlineLevel="0" collapsed="false">
      <c r="A20" s="4" t="n">
        <v>16</v>
      </c>
      <c r="B20" s="4" t="s">
        <v>62</v>
      </c>
      <c r="C20" s="4" t="s">
        <v>63</v>
      </c>
      <c r="D20" s="4" t="s">
        <v>17</v>
      </c>
      <c r="E20" s="4" t="s">
        <v>53</v>
      </c>
      <c r="F20" s="4" t="s">
        <v>19</v>
      </c>
      <c r="G20" s="5" t="n">
        <v>15281</v>
      </c>
      <c r="H20" s="5" t="n">
        <v>15281</v>
      </c>
      <c r="I20" s="5" t="n">
        <f aca="false">H20-G20</f>
        <v>0</v>
      </c>
      <c r="J20" s="4"/>
      <c r="K20" s="4" t="s">
        <v>64</v>
      </c>
      <c r="L20" s="4" t="n">
        <v>0</v>
      </c>
      <c r="M20" s="6" t="s">
        <v>21</v>
      </c>
    </row>
    <row r="21" customFormat="false" ht="15" hidden="false" customHeight="false" outlineLevel="0" collapsed="false">
      <c r="A21" s="4" t="n">
        <v>17</v>
      </c>
      <c r="B21" s="4" t="s">
        <v>65</v>
      </c>
      <c r="C21" s="4" t="s">
        <v>42</v>
      </c>
      <c r="D21" s="4" t="s">
        <v>17</v>
      </c>
      <c r="E21" s="4" t="s">
        <v>66</v>
      </c>
      <c r="F21" s="4" t="s">
        <v>19</v>
      </c>
      <c r="G21" s="5" t="n">
        <v>15859</v>
      </c>
      <c r="H21" s="5" t="n">
        <v>15859</v>
      </c>
      <c r="I21" s="5" t="n">
        <f aca="false">H21-G21</f>
        <v>0</v>
      </c>
      <c r="J21" s="4"/>
      <c r="K21" s="4" t="s">
        <v>64</v>
      </c>
      <c r="L21" s="4" t="n">
        <v>0</v>
      </c>
      <c r="M21" s="6" t="s">
        <v>21</v>
      </c>
    </row>
    <row r="22" customFormat="false" ht="15" hidden="false" customHeight="false" outlineLevel="0" collapsed="false">
      <c r="A22" s="4" t="n">
        <v>18</v>
      </c>
      <c r="B22" s="4" t="s">
        <v>67</v>
      </c>
      <c r="C22" s="4" t="s">
        <v>42</v>
      </c>
      <c r="D22" s="4" t="s">
        <v>17</v>
      </c>
      <c r="E22" s="4" t="s">
        <v>24</v>
      </c>
      <c r="F22" s="4" t="s">
        <v>19</v>
      </c>
      <c r="G22" s="5" t="n">
        <v>27047</v>
      </c>
      <c r="H22" s="5" t="n">
        <v>27047</v>
      </c>
      <c r="I22" s="5" t="n">
        <f aca="false">H22-G22</f>
        <v>0</v>
      </c>
      <c r="J22" s="4"/>
      <c r="K22" s="4" t="s">
        <v>64</v>
      </c>
      <c r="L22" s="4" t="n">
        <v>0</v>
      </c>
      <c r="M22" s="6" t="s">
        <v>21</v>
      </c>
    </row>
    <row r="23" customFormat="false" ht="15" hidden="false" customHeight="false" outlineLevel="0" collapsed="false">
      <c r="A23" s="4" t="n">
        <v>19</v>
      </c>
      <c r="B23" s="4" t="s">
        <v>68</v>
      </c>
      <c r="C23" s="4" t="s">
        <v>42</v>
      </c>
      <c r="D23" s="4" t="s">
        <v>17</v>
      </c>
      <c r="E23" s="4" t="s">
        <v>53</v>
      </c>
      <c r="F23" s="4" t="s">
        <v>54</v>
      </c>
      <c r="G23" s="5" t="n">
        <v>28761</v>
      </c>
      <c r="H23" s="5" t="n">
        <v>28761</v>
      </c>
      <c r="I23" s="5" t="n">
        <f aca="false">H23-G23</f>
        <v>0</v>
      </c>
      <c r="J23" s="4"/>
      <c r="K23" s="4" t="s">
        <v>64</v>
      </c>
      <c r="L23" s="4" t="n">
        <v>0</v>
      </c>
      <c r="M23" s="6" t="s">
        <v>21</v>
      </c>
    </row>
    <row r="24" customFormat="false" ht="15" hidden="false" customHeight="false" outlineLevel="0" collapsed="false">
      <c r="A24" s="4" t="n">
        <v>20</v>
      </c>
      <c r="B24" s="4" t="s">
        <v>69</v>
      </c>
      <c r="C24" s="4" t="s">
        <v>70</v>
      </c>
      <c r="D24" s="4" t="s">
        <v>17</v>
      </c>
      <c r="E24" s="4" t="s">
        <v>71</v>
      </c>
      <c r="F24" s="4" t="s">
        <v>19</v>
      </c>
      <c r="G24" s="5" t="n">
        <v>4806</v>
      </c>
      <c r="H24" s="5" t="n">
        <v>4806</v>
      </c>
      <c r="I24" s="5" t="n">
        <f aca="false">H24-G24</f>
        <v>0</v>
      </c>
      <c r="J24" s="4"/>
      <c r="K24" s="4" t="s">
        <v>64</v>
      </c>
      <c r="L24" s="4" t="n">
        <v>0</v>
      </c>
      <c r="M24" s="6" t="s">
        <v>21</v>
      </c>
    </row>
    <row r="25" customFormat="false" ht="15" hidden="false" customHeight="false" outlineLevel="0" collapsed="false">
      <c r="A25" s="4" t="n">
        <v>21</v>
      </c>
      <c r="B25" s="4" t="s">
        <v>72</v>
      </c>
      <c r="C25" s="4" t="s">
        <v>70</v>
      </c>
      <c r="D25" s="4" t="s">
        <v>17</v>
      </c>
      <c r="E25" s="4" t="s">
        <v>66</v>
      </c>
      <c r="F25" s="4" t="s">
        <v>19</v>
      </c>
      <c r="G25" s="5" t="n">
        <v>18507</v>
      </c>
      <c r="H25" s="5" t="n">
        <v>18507</v>
      </c>
      <c r="I25" s="5" t="n">
        <f aca="false">H25-G25</f>
        <v>0</v>
      </c>
      <c r="J25" s="4"/>
      <c r="K25" s="4" t="s">
        <v>64</v>
      </c>
      <c r="L25" s="4" t="n">
        <v>0</v>
      </c>
      <c r="M25" s="6" t="s">
        <v>21</v>
      </c>
    </row>
    <row r="26" customFormat="false" ht="15" hidden="false" customHeight="false" outlineLevel="0" collapsed="false">
      <c r="A26" s="4" t="n">
        <v>22</v>
      </c>
      <c r="B26" s="4" t="s">
        <v>73</v>
      </c>
      <c r="C26" s="4" t="s">
        <v>74</v>
      </c>
      <c r="D26" s="4" t="s">
        <v>17</v>
      </c>
      <c r="E26" s="4" t="s">
        <v>31</v>
      </c>
      <c r="F26" s="4" t="s">
        <v>19</v>
      </c>
      <c r="G26" s="5" t="n">
        <v>12429</v>
      </c>
      <c r="H26" s="5" t="n">
        <v>12429</v>
      </c>
      <c r="I26" s="5" t="n">
        <f aca="false">H26-G26</f>
        <v>0</v>
      </c>
      <c r="J26" s="4"/>
      <c r="K26" s="4" t="s">
        <v>75</v>
      </c>
      <c r="L26" s="4" t="n">
        <v>0</v>
      </c>
      <c r="M26" s="6" t="s">
        <v>21</v>
      </c>
    </row>
    <row r="27" customFormat="false" ht="15" hidden="false" customHeight="false" outlineLevel="0" collapsed="false">
      <c r="A27" s="4" t="n">
        <v>23</v>
      </c>
      <c r="B27" s="4" t="s">
        <v>76</v>
      </c>
      <c r="C27" s="4" t="s">
        <v>77</v>
      </c>
      <c r="D27" s="4" t="s">
        <v>17</v>
      </c>
      <c r="E27" s="4" t="s">
        <v>18</v>
      </c>
      <c r="F27" s="4" t="s">
        <v>19</v>
      </c>
      <c r="G27" s="5" t="n">
        <v>12307</v>
      </c>
      <c r="H27" s="5" t="n">
        <v>12307</v>
      </c>
      <c r="I27" s="5" t="n">
        <f aca="false">H27-G27</f>
        <v>0</v>
      </c>
      <c r="J27" s="4"/>
      <c r="K27" s="4" t="s">
        <v>75</v>
      </c>
      <c r="L27" s="4" t="n">
        <v>0</v>
      </c>
      <c r="M27" s="6" t="s">
        <v>21</v>
      </c>
    </row>
    <row r="28" customFormat="false" ht="15" hidden="false" customHeight="false" outlineLevel="0" collapsed="false">
      <c r="A28" s="4" t="n">
        <v>24</v>
      </c>
      <c r="B28" s="4" t="s">
        <v>78</v>
      </c>
      <c r="C28" s="4" t="s">
        <v>77</v>
      </c>
      <c r="D28" s="4" t="s">
        <v>17</v>
      </c>
      <c r="E28" s="4" t="s">
        <v>31</v>
      </c>
      <c r="F28" s="4" t="s">
        <v>19</v>
      </c>
      <c r="G28" s="5" t="n">
        <v>11085</v>
      </c>
      <c r="H28" s="5" t="n">
        <v>11085</v>
      </c>
      <c r="I28" s="5" t="n">
        <f aca="false">H28-G28</f>
        <v>0</v>
      </c>
      <c r="J28" s="4"/>
      <c r="K28" s="4" t="s">
        <v>75</v>
      </c>
      <c r="L28" s="4" t="n">
        <v>0</v>
      </c>
      <c r="M28" s="6" t="s">
        <v>21</v>
      </c>
    </row>
    <row r="29" customFormat="false" ht="15" hidden="false" customHeight="false" outlineLevel="0" collapsed="false">
      <c r="A29" s="4" t="n">
        <v>25</v>
      </c>
      <c r="B29" s="4" t="s">
        <v>79</v>
      </c>
      <c r="C29" s="4" t="s">
        <v>64</v>
      </c>
      <c r="D29" s="4" t="s">
        <v>17</v>
      </c>
      <c r="E29" s="4" t="s">
        <v>18</v>
      </c>
      <c r="F29" s="4" t="s">
        <v>19</v>
      </c>
      <c r="G29" s="5" t="n">
        <v>5622</v>
      </c>
      <c r="H29" s="5" t="n">
        <v>5622</v>
      </c>
      <c r="I29" s="5" t="n">
        <f aca="false">H29-G29</f>
        <v>0</v>
      </c>
      <c r="J29" s="4"/>
      <c r="K29" s="4" t="s">
        <v>80</v>
      </c>
      <c r="L29" s="4" t="n">
        <v>0</v>
      </c>
      <c r="M29" s="6" t="s">
        <v>21</v>
      </c>
    </row>
    <row r="30" customFormat="false" ht="15" hidden="false" customHeight="false" outlineLevel="0" collapsed="false">
      <c r="A30" s="7" t="n">
        <v>26</v>
      </c>
      <c r="B30" s="7" t="s">
        <v>81</v>
      </c>
      <c r="C30" s="7" t="s">
        <v>82</v>
      </c>
      <c r="D30" s="7" t="s">
        <v>17</v>
      </c>
      <c r="E30" s="7" t="s">
        <v>83</v>
      </c>
      <c r="F30" s="7" t="s">
        <v>19</v>
      </c>
      <c r="G30" s="8" t="n">
        <v>10936</v>
      </c>
      <c r="H30" s="8" t="n">
        <v>9436</v>
      </c>
      <c r="I30" s="8" t="n">
        <f aca="false">H30-G30</f>
        <v>-1500</v>
      </c>
      <c r="J30" s="7" t="s">
        <v>36</v>
      </c>
      <c r="K30" s="7" t="s">
        <v>80</v>
      </c>
      <c r="L30" s="7" t="n">
        <v>0</v>
      </c>
      <c r="M30" s="9" t="s">
        <v>21</v>
      </c>
    </row>
    <row r="31" customFormat="false" ht="15" hidden="false" customHeight="false" outlineLevel="0" collapsed="false">
      <c r="A31" s="4" t="n">
        <v>27</v>
      </c>
      <c r="B31" s="4" t="s">
        <v>84</v>
      </c>
      <c r="C31" s="4" t="s">
        <v>82</v>
      </c>
      <c r="D31" s="4" t="s">
        <v>17</v>
      </c>
      <c r="E31" s="4" t="s">
        <v>85</v>
      </c>
      <c r="F31" s="4" t="s">
        <v>19</v>
      </c>
      <c r="G31" s="5" t="n">
        <v>11376</v>
      </c>
      <c r="H31" s="5" t="n">
        <v>11376</v>
      </c>
      <c r="I31" s="5" t="n">
        <f aca="false">H31-G31</f>
        <v>0</v>
      </c>
      <c r="J31" s="4"/>
      <c r="K31" s="4" t="s">
        <v>80</v>
      </c>
      <c r="L31" s="4" t="n">
        <v>0</v>
      </c>
      <c r="M31" s="6" t="s">
        <v>21</v>
      </c>
    </row>
    <row r="32" customFormat="false" ht="15" hidden="false" customHeight="false" outlineLevel="0" collapsed="false">
      <c r="A32" s="4" t="n">
        <v>28</v>
      </c>
      <c r="B32" s="4" t="s">
        <v>86</v>
      </c>
      <c r="C32" s="4" t="s">
        <v>87</v>
      </c>
      <c r="D32" s="4" t="s">
        <v>17</v>
      </c>
      <c r="E32" s="4" t="s">
        <v>71</v>
      </c>
      <c r="F32" s="4" t="s">
        <v>19</v>
      </c>
      <c r="G32" s="5" t="n">
        <v>23473</v>
      </c>
      <c r="H32" s="5" t="n">
        <v>23473</v>
      </c>
      <c r="I32" s="5" t="n">
        <f aca="false">H32-G32</f>
        <v>0</v>
      </c>
      <c r="J32" s="4"/>
      <c r="K32" s="4" t="s">
        <v>88</v>
      </c>
      <c r="L32" s="4" t="n">
        <v>0</v>
      </c>
      <c r="M32" s="6" t="s">
        <v>21</v>
      </c>
    </row>
    <row r="33" customFormat="false" ht="15" hidden="false" customHeight="false" outlineLevel="0" collapsed="false">
      <c r="A33" s="4" t="n">
        <v>29</v>
      </c>
      <c r="B33" s="4" t="s">
        <v>89</v>
      </c>
      <c r="C33" s="4" t="s">
        <v>90</v>
      </c>
      <c r="D33" s="4" t="s">
        <v>17</v>
      </c>
      <c r="E33" s="4" t="s">
        <v>71</v>
      </c>
      <c r="F33" s="4" t="s">
        <v>19</v>
      </c>
      <c r="G33" s="5" t="n">
        <v>28807</v>
      </c>
      <c r="H33" s="5" t="n">
        <v>28807</v>
      </c>
      <c r="I33" s="5" t="n">
        <f aca="false">H33-G33</f>
        <v>0</v>
      </c>
      <c r="J33" s="4"/>
      <c r="K33" s="4" t="s">
        <v>88</v>
      </c>
      <c r="L33" s="4" t="n">
        <v>0</v>
      </c>
      <c r="M33" s="6" t="s">
        <v>21</v>
      </c>
    </row>
    <row r="34" customFormat="false" ht="15" hidden="false" customHeight="false" outlineLevel="0" collapsed="false">
      <c r="A34" s="4" t="n">
        <v>30</v>
      </c>
      <c r="B34" s="4" t="s">
        <v>91</v>
      </c>
      <c r="C34" s="4" t="s">
        <v>92</v>
      </c>
      <c r="D34" s="4" t="s">
        <v>17</v>
      </c>
      <c r="E34" s="4" t="s">
        <v>93</v>
      </c>
      <c r="F34" s="4" t="s">
        <v>54</v>
      </c>
      <c r="G34" s="5" t="n">
        <v>8195</v>
      </c>
      <c r="H34" s="5" t="n">
        <v>8195</v>
      </c>
      <c r="I34" s="5" t="n">
        <f aca="false">H34-G34</f>
        <v>0</v>
      </c>
      <c r="J34" s="4"/>
      <c r="K34" s="4" t="s">
        <v>94</v>
      </c>
      <c r="L34" s="4" t="n">
        <v>0</v>
      </c>
      <c r="M34" s="6" t="s">
        <v>21</v>
      </c>
    </row>
    <row r="35" customFormat="false" ht="15" hidden="false" customHeight="false" outlineLevel="0" collapsed="false">
      <c r="A35" s="7" t="n">
        <v>31</v>
      </c>
      <c r="B35" s="7" t="s">
        <v>95</v>
      </c>
      <c r="C35" s="7" t="s">
        <v>92</v>
      </c>
      <c r="D35" s="7" t="s">
        <v>96</v>
      </c>
      <c r="E35" s="7" t="s">
        <v>97</v>
      </c>
      <c r="F35" s="7" t="s">
        <v>19</v>
      </c>
      <c r="G35" s="8" t="n">
        <v>17140</v>
      </c>
      <c r="H35" s="8" t="n">
        <v>19122</v>
      </c>
      <c r="I35" s="8" t="n">
        <f aca="false">H35-G35</f>
        <v>1982</v>
      </c>
      <c r="J35" s="7" t="s">
        <v>36</v>
      </c>
      <c r="K35" s="7" t="s">
        <v>94</v>
      </c>
      <c r="L35" s="7" t="n">
        <v>0</v>
      </c>
      <c r="M35" s="9" t="s">
        <v>21</v>
      </c>
    </row>
    <row r="36" customFormat="false" ht="15" hidden="false" customHeight="false" outlineLevel="0" collapsed="false">
      <c r="A36" s="4" t="n">
        <v>32</v>
      </c>
      <c r="B36" s="4" t="s">
        <v>98</v>
      </c>
      <c r="C36" s="4" t="s">
        <v>99</v>
      </c>
      <c r="D36" s="4" t="s">
        <v>17</v>
      </c>
      <c r="E36" s="4" t="s">
        <v>71</v>
      </c>
      <c r="F36" s="4" t="s">
        <v>54</v>
      </c>
      <c r="G36" s="5" t="n">
        <v>20684</v>
      </c>
      <c r="H36" s="5" t="n">
        <v>20684</v>
      </c>
      <c r="I36" s="5" t="n">
        <f aca="false">H36-G36</f>
        <v>0</v>
      </c>
      <c r="J36" s="4"/>
      <c r="K36" s="4" t="s">
        <v>94</v>
      </c>
      <c r="L36" s="4" t="n">
        <v>0</v>
      </c>
      <c r="M36" s="6" t="s">
        <v>21</v>
      </c>
    </row>
    <row r="37" customFormat="false" ht="15" hidden="false" customHeight="false" outlineLevel="0" collapsed="false">
      <c r="A37" s="4" t="n">
        <v>33</v>
      </c>
      <c r="B37" s="4" t="s">
        <v>100</v>
      </c>
      <c r="C37" s="4" t="s">
        <v>99</v>
      </c>
      <c r="D37" s="4" t="s">
        <v>17</v>
      </c>
      <c r="E37" s="4" t="s">
        <v>71</v>
      </c>
      <c r="F37" s="4" t="s">
        <v>19</v>
      </c>
      <c r="G37" s="5" t="n">
        <v>16813</v>
      </c>
      <c r="H37" s="5" t="n">
        <v>16813</v>
      </c>
      <c r="I37" s="5" t="n">
        <f aca="false">H37-G37</f>
        <v>0</v>
      </c>
      <c r="J37" s="4"/>
      <c r="K37" s="4" t="s">
        <v>94</v>
      </c>
      <c r="L37" s="4" t="n">
        <v>0</v>
      </c>
      <c r="M37" s="6" t="s">
        <v>21</v>
      </c>
    </row>
    <row r="38" customFormat="false" ht="15" hidden="false" customHeight="false" outlineLevel="0" collapsed="false">
      <c r="A38" s="4" t="n">
        <v>34</v>
      </c>
      <c r="B38" s="4" t="s">
        <v>101</v>
      </c>
      <c r="C38" s="4" t="s">
        <v>102</v>
      </c>
      <c r="D38" s="4" t="s">
        <v>17</v>
      </c>
      <c r="E38" s="4" t="s">
        <v>71</v>
      </c>
      <c r="F38" s="4" t="s">
        <v>19</v>
      </c>
      <c r="G38" s="5" t="n">
        <v>8937</v>
      </c>
      <c r="H38" s="5" t="n">
        <v>8937</v>
      </c>
      <c r="I38" s="5" t="n">
        <f aca="false">H38-G38</f>
        <v>0</v>
      </c>
      <c r="J38" s="4"/>
      <c r="K38" s="4" t="s">
        <v>103</v>
      </c>
      <c r="L38" s="4" t="n">
        <v>0</v>
      </c>
      <c r="M38" s="6" t="s">
        <v>21</v>
      </c>
    </row>
    <row r="39" customFormat="false" ht="15" hidden="false" customHeight="false" outlineLevel="0" collapsed="false">
      <c r="A39" s="4" t="n">
        <v>35</v>
      </c>
      <c r="B39" s="4" t="s">
        <v>104</v>
      </c>
      <c r="C39" s="4" t="s">
        <v>105</v>
      </c>
      <c r="D39" s="4" t="s">
        <v>17</v>
      </c>
      <c r="E39" s="4" t="s">
        <v>18</v>
      </c>
      <c r="F39" s="4" t="s">
        <v>19</v>
      </c>
      <c r="G39" s="5" t="n">
        <v>9608</v>
      </c>
      <c r="H39" s="5" t="n">
        <v>9608</v>
      </c>
      <c r="I39" s="5" t="n">
        <f aca="false">H39-G39</f>
        <v>0</v>
      </c>
      <c r="J39" s="4"/>
      <c r="K39" s="4" t="s">
        <v>106</v>
      </c>
      <c r="L39" s="4" t="n">
        <v>0</v>
      </c>
      <c r="M39" s="6" t="s">
        <v>21</v>
      </c>
    </row>
    <row r="40" customFormat="false" ht="15" hidden="false" customHeight="false" outlineLevel="0" collapsed="false">
      <c r="A40" s="4" t="n">
        <v>36</v>
      </c>
      <c r="B40" s="4" t="s">
        <v>107</v>
      </c>
      <c r="C40" s="4" t="s">
        <v>108</v>
      </c>
      <c r="D40" s="4" t="s">
        <v>17</v>
      </c>
      <c r="E40" s="4" t="s">
        <v>109</v>
      </c>
      <c r="F40" s="4" t="s">
        <v>54</v>
      </c>
      <c r="G40" s="5" t="n">
        <v>20593</v>
      </c>
      <c r="H40" s="5" t="n">
        <v>20593</v>
      </c>
      <c r="I40" s="5" t="n">
        <f aca="false">H40-G40</f>
        <v>0</v>
      </c>
      <c r="J40" s="4"/>
      <c r="K40" s="4" t="s">
        <v>110</v>
      </c>
      <c r="L40" s="4" t="n">
        <v>0</v>
      </c>
      <c r="M40" s="6" t="s">
        <v>21</v>
      </c>
    </row>
    <row r="41" customFormat="false" ht="15" hidden="false" customHeight="false" outlineLevel="0" collapsed="false">
      <c r="A41" s="4" t="n">
        <v>37</v>
      </c>
      <c r="B41" s="4" t="s">
        <v>111</v>
      </c>
      <c r="C41" s="4" t="s">
        <v>112</v>
      </c>
      <c r="D41" s="4" t="s">
        <v>17</v>
      </c>
      <c r="E41" s="4" t="s">
        <v>113</v>
      </c>
      <c r="F41" s="4" t="s">
        <v>19</v>
      </c>
      <c r="G41" s="5" t="n">
        <v>7974</v>
      </c>
      <c r="H41" s="5" t="n">
        <v>7974</v>
      </c>
      <c r="I41" s="5" t="n">
        <f aca="false">H41-G41</f>
        <v>0</v>
      </c>
      <c r="J41" s="4"/>
      <c r="K41" s="4" t="s">
        <v>110</v>
      </c>
      <c r="L41" s="4" t="n">
        <v>2</v>
      </c>
      <c r="M41" s="6" t="s">
        <v>21</v>
      </c>
    </row>
    <row r="42" customFormat="false" ht="15" hidden="false" customHeight="false" outlineLevel="0" collapsed="false">
      <c r="A42" s="4" t="n">
        <v>38</v>
      </c>
      <c r="B42" s="4" t="s">
        <v>114</v>
      </c>
      <c r="C42" s="4" t="s">
        <v>112</v>
      </c>
      <c r="D42" s="4" t="s">
        <v>17</v>
      </c>
      <c r="E42" s="4" t="s">
        <v>48</v>
      </c>
      <c r="F42" s="4" t="s">
        <v>115</v>
      </c>
      <c r="G42" s="5" t="n">
        <v>34175</v>
      </c>
      <c r="H42" s="5" t="n">
        <v>34175</v>
      </c>
      <c r="I42" s="5" t="n">
        <f aca="false">H42-G42</f>
        <v>0</v>
      </c>
      <c r="J42" s="4"/>
      <c r="K42" s="4" t="s">
        <v>110</v>
      </c>
      <c r="L42" s="4" t="n">
        <v>0</v>
      </c>
      <c r="M42" s="6" t="s">
        <v>21</v>
      </c>
    </row>
    <row r="43" customFormat="false" ht="15" hidden="false" customHeight="false" outlineLevel="0" collapsed="false">
      <c r="A43" s="4" t="n">
        <v>39</v>
      </c>
      <c r="B43" s="4" t="s">
        <v>116</v>
      </c>
      <c r="C43" s="4" t="s">
        <v>112</v>
      </c>
      <c r="D43" s="4" t="s">
        <v>17</v>
      </c>
      <c r="E43" s="4" t="s">
        <v>18</v>
      </c>
      <c r="F43" s="4" t="s">
        <v>115</v>
      </c>
      <c r="G43" s="5" t="n">
        <v>14394</v>
      </c>
      <c r="H43" s="5" t="n">
        <v>14394</v>
      </c>
      <c r="I43" s="5" t="n">
        <f aca="false">H43-G43</f>
        <v>0</v>
      </c>
      <c r="J43" s="4"/>
      <c r="K43" s="4" t="s">
        <v>110</v>
      </c>
      <c r="L43" s="4" t="n">
        <v>0</v>
      </c>
      <c r="M43" s="6" t="s">
        <v>21</v>
      </c>
    </row>
    <row r="44" customFormat="false" ht="15" hidden="false" customHeight="false" outlineLevel="0" collapsed="false">
      <c r="A44" s="4" t="n">
        <v>40</v>
      </c>
      <c r="B44" s="4" t="s">
        <v>117</v>
      </c>
      <c r="C44" s="4" t="s">
        <v>103</v>
      </c>
      <c r="D44" s="4" t="s">
        <v>17</v>
      </c>
      <c r="E44" s="4" t="s">
        <v>71</v>
      </c>
      <c r="F44" s="4" t="s">
        <v>19</v>
      </c>
      <c r="G44" s="5" t="n">
        <v>6929</v>
      </c>
      <c r="H44" s="5" t="n">
        <v>6929</v>
      </c>
      <c r="I44" s="5" t="n">
        <f aca="false">H44-G44</f>
        <v>0</v>
      </c>
      <c r="J44" s="4"/>
      <c r="K44" s="4" t="s">
        <v>110</v>
      </c>
      <c r="L44" s="4" t="n">
        <v>0</v>
      </c>
      <c r="M44" s="6" t="s">
        <v>21</v>
      </c>
    </row>
    <row r="45" customFormat="false" ht="15" hidden="false" customHeight="false" outlineLevel="0" collapsed="false">
      <c r="A45" s="4" t="n">
        <v>41</v>
      </c>
      <c r="B45" s="4" t="s">
        <v>118</v>
      </c>
      <c r="C45" s="4" t="s">
        <v>103</v>
      </c>
      <c r="D45" s="4" t="s">
        <v>17</v>
      </c>
      <c r="E45" s="4" t="s">
        <v>113</v>
      </c>
      <c r="F45" s="4" t="s">
        <v>19</v>
      </c>
      <c r="G45" s="5" t="n">
        <v>4490</v>
      </c>
      <c r="H45" s="5" t="n">
        <v>4490</v>
      </c>
      <c r="I45" s="5" t="n">
        <f aca="false">H45-G45</f>
        <v>0</v>
      </c>
      <c r="J45" s="4"/>
      <c r="K45" s="4" t="s">
        <v>110</v>
      </c>
      <c r="L45" s="4" t="n">
        <v>0</v>
      </c>
      <c r="M45" s="6" t="s">
        <v>21</v>
      </c>
    </row>
    <row r="46" customFormat="false" ht="15" hidden="false" customHeight="false" outlineLevel="0" collapsed="false">
      <c r="A46" s="4" t="n">
        <v>42</v>
      </c>
      <c r="B46" s="4" t="s">
        <v>119</v>
      </c>
      <c r="C46" s="4" t="s">
        <v>103</v>
      </c>
      <c r="D46" s="4" t="s">
        <v>17</v>
      </c>
      <c r="E46" s="4" t="s">
        <v>120</v>
      </c>
      <c r="F46" s="4" t="s">
        <v>115</v>
      </c>
      <c r="G46" s="5" t="n">
        <v>17215</v>
      </c>
      <c r="H46" s="5" t="n">
        <v>17215</v>
      </c>
      <c r="I46" s="5" t="n">
        <f aca="false">H46-G46</f>
        <v>0</v>
      </c>
      <c r="J46" s="4"/>
      <c r="K46" s="4" t="s">
        <v>110</v>
      </c>
      <c r="L46" s="4" t="n">
        <v>0</v>
      </c>
      <c r="M46" s="6" t="s">
        <v>21</v>
      </c>
    </row>
    <row r="47" customFormat="false" ht="15" hidden="false" customHeight="false" outlineLevel="0" collapsed="false">
      <c r="A47" s="4" t="n">
        <v>43</v>
      </c>
      <c r="B47" s="4" t="s">
        <v>121</v>
      </c>
      <c r="C47" s="4" t="s">
        <v>122</v>
      </c>
      <c r="D47" s="4" t="s">
        <v>17</v>
      </c>
      <c r="E47" s="4" t="s">
        <v>71</v>
      </c>
      <c r="F47" s="4" t="s">
        <v>115</v>
      </c>
      <c r="G47" s="5" t="n">
        <v>16411</v>
      </c>
      <c r="H47" s="5" t="n">
        <v>16411</v>
      </c>
      <c r="I47" s="5" t="n">
        <f aca="false">H47-G47</f>
        <v>0</v>
      </c>
      <c r="J47" s="4"/>
      <c r="K47" s="4" t="s">
        <v>123</v>
      </c>
      <c r="L47" s="4" t="n">
        <v>0</v>
      </c>
      <c r="M47" s="6" t="s">
        <v>21</v>
      </c>
    </row>
    <row r="48" customFormat="false" ht="15" hidden="false" customHeight="false" outlineLevel="0" collapsed="false">
      <c r="A48" s="4" t="n">
        <v>44</v>
      </c>
      <c r="B48" s="4" t="s">
        <v>124</v>
      </c>
      <c r="C48" s="4" t="s">
        <v>122</v>
      </c>
      <c r="D48" s="4" t="s">
        <v>17</v>
      </c>
      <c r="E48" s="4" t="s">
        <v>71</v>
      </c>
      <c r="F48" s="4" t="s">
        <v>115</v>
      </c>
      <c r="G48" s="5" t="n">
        <v>6980</v>
      </c>
      <c r="H48" s="5" t="n">
        <v>6980</v>
      </c>
      <c r="I48" s="5" t="n">
        <f aca="false">H48-G48</f>
        <v>0</v>
      </c>
      <c r="J48" s="4"/>
      <c r="K48" s="4" t="s">
        <v>123</v>
      </c>
      <c r="L48" s="4" t="n">
        <v>1</v>
      </c>
      <c r="M48" s="6" t="s">
        <v>21</v>
      </c>
    </row>
    <row r="49" customFormat="false" ht="15" hidden="false" customHeight="false" outlineLevel="0" collapsed="false">
      <c r="A49" s="4" t="n">
        <v>45</v>
      </c>
      <c r="B49" s="4" t="s">
        <v>125</v>
      </c>
      <c r="C49" s="4" t="s">
        <v>122</v>
      </c>
      <c r="D49" s="4" t="s">
        <v>126</v>
      </c>
      <c r="E49" s="4" t="s">
        <v>127</v>
      </c>
      <c r="F49" s="4" t="s">
        <v>115</v>
      </c>
      <c r="G49" s="5" t="n">
        <v>32029</v>
      </c>
      <c r="H49" s="5" t="n">
        <v>32029</v>
      </c>
      <c r="I49" s="5" t="n">
        <f aca="false">H49-G49</f>
        <v>0</v>
      </c>
      <c r="J49" s="4"/>
      <c r="K49" s="4" t="s">
        <v>123</v>
      </c>
      <c r="L49" s="4" t="n">
        <v>0</v>
      </c>
      <c r="M49" s="6" t="s">
        <v>21</v>
      </c>
    </row>
    <row r="50" customFormat="false" ht="15" hidden="false" customHeight="false" outlineLevel="0" collapsed="false">
      <c r="A50" s="4" t="n">
        <v>46</v>
      </c>
      <c r="B50" s="4" t="s">
        <v>128</v>
      </c>
      <c r="C50" s="4" t="s">
        <v>129</v>
      </c>
      <c r="D50" s="4" t="s">
        <v>17</v>
      </c>
      <c r="E50" s="4" t="s">
        <v>31</v>
      </c>
      <c r="F50" s="4" t="s">
        <v>115</v>
      </c>
      <c r="G50" s="5" t="n">
        <v>9088</v>
      </c>
      <c r="H50" s="5" t="n">
        <v>9088</v>
      </c>
      <c r="I50" s="5" t="n">
        <f aca="false">H50-G50</f>
        <v>0</v>
      </c>
      <c r="J50" s="4"/>
      <c r="K50" s="4" t="s">
        <v>123</v>
      </c>
      <c r="L50" s="4" t="n">
        <v>0</v>
      </c>
      <c r="M50" s="6" t="s">
        <v>21</v>
      </c>
    </row>
    <row r="51" customFormat="false" ht="15" hidden="false" customHeight="false" outlineLevel="0" collapsed="false">
      <c r="A51" s="4" t="n">
        <v>47</v>
      </c>
      <c r="B51" s="4" t="s">
        <v>130</v>
      </c>
      <c r="C51" s="4" t="s">
        <v>131</v>
      </c>
      <c r="D51" s="4" t="s">
        <v>17</v>
      </c>
      <c r="E51" s="4" t="s">
        <v>109</v>
      </c>
      <c r="F51" s="4" t="s">
        <v>115</v>
      </c>
      <c r="G51" s="5" t="n">
        <v>28856</v>
      </c>
      <c r="H51" s="5" t="n">
        <v>28856</v>
      </c>
      <c r="I51" s="5" t="n">
        <f aca="false">H51-G51</f>
        <v>0</v>
      </c>
      <c r="J51" s="4"/>
      <c r="K51" s="4" t="s">
        <v>132</v>
      </c>
      <c r="L51" s="4" t="n">
        <v>0</v>
      </c>
      <c r="M51" s="6" t="s">
        <v>21</v>
      </c>
    </row>
    <row r="52" customFormat="false" ht="15" hidden="false" customHeight="false" outlineLevel="0" collapsed="false">
      <c r="A52" s="4" t="n">
        <v>48</v>
      </c>
      <c r="B52" s="4" t="s">
        <v>133</v>
      </c>
      <c r="C52" s="4" t="s">
        <v>110</v>
      </c>
      <c r="D52" s="4" t="s">
        <v>17</v>
      </c>
      <c r="E52" s="4" t="s">
        <v>134</v>
      </c>
      <c r="F52" s="4" t="s">
        <v>115</v>
      </c>
      <c r="G52" s="5" t="n">
        <v>16811</v>
      </c>
      <c r="H52" s="5" t="n">
        <v>16811</v>
      </c>
      <c r="I52" s="5" t="n">
        <f aca="false">H52-G52</f>
        <v>0</v>
      </c>
      <c r="J52" s="4"/>
      <c r="K52" s="4" t="s">
        <v>132</v>
      </c>
      <c r="L52" s="4" t="n">
        <v>2</v>
      </c>
      <c r="M52" s="6" t="s">
        <v>21</v>
      </c>
    </row>
    <row r="53" customFormat="false" ht="15" hidden="false" customHeight="false" outlineLevel="0" collapsed="false">
      <c r="A53" s="4" t="n">
        <v>49</v>
      </c>
      <c r="B53" s="4" t="s">
        <v>135</v>
      </c>
      <c r="C53" s="4" t="s">
        <v>110</v>
      </c>
      <c r="D53" s="4" t="s">
        <v>17</v>
      </c>
      <c r="E53" s="4" t="s">
        <v>134</v>
      </c>
      <c r="F53" s="4" t="s">
        <v>115</v>
      </c>
      <c r="G53" s="5" t="n">
        <v>18857</v>
      </c>
      <c r="H53" s="5" t="n">
        <v>18857</v>
      </c>
      <c r="I53" s="5" t="n">
        <f aca="false">H53-G53</f>
        <v>0</v>
      </c>
      <c r="J53" s="4"/>
      <c r="K53" s="4" t="s">
        <v>132</v>
      </c>
      <c r="L53" s="4" t="n">
        <v>1</v>
      </c>
      <c r="M53" s="6" t="s">
        <v>21</v>
      </c>
    </row>
    <row r="54" customFormat="false" ht="15" hidden="false" customHeight="false" outlineLevel="0" collapsed="false">
      <c r="A54" s="4" t="n">
        <v>50</v>
      </c>
      <c r="B54" s="4" t="s">
        <v>136</v>
      </c>
      <c r="C54" s="4" t="s">
        <v>137</v>
      </c>
      <c r="D54" s="4" t="s">
        <v>17</v>
      </c>
      <c r="E54" s="4" t="s">
        <v>138</v>
      </c>
      <c r="F54" s="4" t="s">
        <v>115</v>
      </c>
      <c r="G54" s="5" t="n">
        <v>5808</v>
      </c>
      <c r="H54" s="5" t="n">
        <v>5808</v>
      </c>
      <c r="I54" s="5" t="n">
        <f aca="false">H54-G54</f>
        <v>0</v>
      </c>
      <c r="J54" s="4"/>
      <c r="K54" s="4" t="s">
        <v>132</v>
      </c>
      <c r="L54" s="4" t="n">
        <v>1</v>
      </c>
      <c r="M54" s="6" t="s">
        <v>21</v>
      </c>
    </row>
    <row r="55" customFormat="false" ht="15" hidden="false" customHeight="false" outlineLevel="0" collapsed="false">
      <c r="A55" s="4" t="n">
        <v>51</v>
      </c>
      <c r="B55" s="4" t="s">
        <v>139</v>
      </c>
      <c r="C55" s="4" t="s">
        <v>140</v>
      </c>
      <c r="D55" s="4" t="s">
        <v>141</v>
      </c>
      <c r="E55" s="4" t="s">
        <v>142</v>
      </c>
      <c r="F55" s="4" t="s">
        <v>115</v>
      </c>
      <c r="G55" s="5" t="n">
        <v>12500</v>
      </c>
      <c r="H55" s="5" t="n">
        <v>12500</v>
      </c>
      <c r="I55" s="5" t="n">
        <f aca="false">H55-G55</f>
        <v>0</v>
      </c>
      <c r="J55" s="4"/>
      <c r="K55" s="4" t="s">
        <v>143</v>
      </c>
      <c r="L55" s="4" t="n">
        <v>0</v>
      </c>
      <c r="M55" s="6" t="s">
        <v>21</v>
      </c>
    </row>
    <row r="56" customFormat="false" ht="15" hidden="false" customHeight="false" outlineLevel="0" collapsed="false">
      <c r="A56" s="4" t="n">
        <v>52</v>
      </c>
      <c r="B56" s="4" t="s">
        <v>144</v>
      </c>
      <c r="C56" s="4" t="s">
        <v>145</v>
      </c>
      <c r="D56" s="4" t="s">
        <v>17</v>
      </c>
      <c r="E56" s="4" t="s">
        <v>134</v>
      </c>
      <c r="F56" s="4" t="s">
        <v>115</v>
      </c>
      <c r="G56" s="5" t="n">
        <v>13528</v>
      </c>
      <c r="H56" s="5" t="n">
        <v>13528</v>
      </c>
      <c r="I56" s="5" t="n">
        <f aca="false">H56-G56</f>
        <v>0</v>
      </c>
      <c r="J56" s="4"/>
      <c r="K56" s="4" t="s">
        <v>143</v>
      </c>
      <c r="L56" s="4" t="n">
        <v>0</v>
      </c>
      <c r="M56" s="6" t="s">
        <v>21</v>
      </c>
    </row>
    <row r="57" customFormat="false" ht="15" hidden="false" customHeight="false" outlineLevel="0" collapsed="false">
      <c r="A57" s="4" t="n">
        <v>53</v>
      </c>
      <c r="B57" s="4" t="s">
        <v>146</v>
      </c>
      <c r="C57" s="4" t="s">
        <v>145</v>
      </c>
      <c r="D57" s="4" t="s">
        <v>17</v>
      </c>
      <c r="E57" s="4" t="s">
        <v>18</v>
      </c>
      <c r="F57" s="4" t="s">
        <v>115</v>
      </c>
      <c r="G57" s="5" t="n">
        <v>10388</v>
      </c>
      <c r="H57" s="5" t="n">
        <v>10388</v>
      </c>
      <c r="I57" s="5" t="n">
        <f aca="false">H57-G57</f>
        <v>0</v>
      </c>
      <c r="J57" s="4"/>
      <c r="K57" s="4" t="s">
        <v>143</v>
      </c>
      <c r="L57" s="4" t="n">
        <v>1</v>
      </c>
      <c r="M57" s="6" t="s">
        <v>21</v>
      </c>
    </row>
    <row r="58" customFormat="false" ht="15" hidden="false" customHeight="false" outlineLevel="0" collapsed="false">
      <c r="A58" s="4" t="n">
        <v>54</v>
      </c>
      <c r="B58" s="4" t="s">
        <v>147</v>
      </c>
      <c r="C58" s="4" t="s">
        <v>148</v>
      </c>
      <c r="D58" s="4" t="s">
        <v>17</v>
      </c>
      <c r="E58" s="4" t="s">
        <v>109</v>
      </c>
      <c r="F58" s="4" t="s">
        <v>115</v>
      </c>
      <c r="G58" s="5" t="n">
        <v>7330</v>
      </c>
      <c r="H58" s="5" t="n">
        <v>7330</v>
      </c>
      <c r="I58" s="5" t="n">
        <f aca="false">H58-G58</f>
        <v>0</v>
      </c>
      <c r="J58" s="4"/>
      <c r="K58" s="4" t="s">
        <v>149</v>
      </c>
      <c r="L58" s="4" t="n">
        <v>1</v>
      </c>
      <c r="M58" s="6" t="s">
        <v>21</v>
      </c>
    </row>
    <row r="59" customFormat="false" ht="15" hidden="false" customHeight="false" outlineLevel="0" collapsed="false">
      <c r="A59" s="4" t="n">
        <v>55</v>
      </c>
      <c r="B59" s="4" t="s">
        <v>150</v>
      </c>
      <c r="C59" s="4" t="s">
        <v>148</v>
      </c>
      <c r="D59" s="4" t="s">
        <v>17</v>
      </c>
      <c r="E59" s="4" t="s">
        <v>31</v>
      </c>
      <c r="F59" s="4" t="s">
        <v>115</v>
      </c>
      <c r="G59" s="5" t="n">
        <v>10493</v>
      </c>
      <c r="H59" s="5" t="n">
        <v>10493</v>
      </c>
      <c r="I59" s="5" t="n">
        <f aca="false">H59-G59</f>
        <v>0</v>
      </c>
      <c r="J59" s="4"/>
      <c r="K59" s="4" t="s">
        <v>149</v>
      </c>
      <c r="L59" s="4" t="n">
        <v>0</v>
      </c>
      <c r="M59" s="6" t="s">
        <v>21</v>
      </c>
    </row>
    <row r="60" customFormat="false" ht="15" hidden="false" customHeight="false" outlineLevel="0" collapsed="false">
      <c r="A60" s="4" t="n">
        <v>56</v>
      </c>
      <c r="B60" s="4" t="s">
        <v>151</v>
      </c>
      <c r="C60" s="4" t="s">
        <v>152</v>
      </c>
      <c r="D60" s="4" t="s">
        <v>17</v>
      </c>
      <c r="E60" s="4" t="s">
        <v>31</v>
      </c>
      <c r="F60" s="4" t="s">
        <v>115</v>
      </c>
      <c r="G60" s="5" t="n">
        <v>7063</v>
      </c>
      <c r="H60" s="5" t="n">
        <v>7063</v>
      </c>
      <c r="I60" s="5" t="n">
        <f aca="false">H60-G60</f>
        <v>0</v>
      </c>
      <c r="J60" s="4"/>
      <c r="K60" s="4" t="s">
        <v>149</v>
      </c>
      <c r="L60" s="4" t="n">
        <v>1</v>
      </c>
      <c r="M60" s="6" t="s">
        <v>21</v>
      </c>
    </row>
    <row r="61" customFormat="false" ht="15" hidden="false" customHeight="false" outlineLevel="0" collapsed="false">
      <c r="A61" s="4" t="n">
        <v>57</v>
      </c>
      <c r="B61" s="4" t="s">
        <v>153</v>
      </c>
      <c r="C61" s="4" t="s">
        <v>132</v>
      </c>
      <c r="D61" s="4" t="s">
        <v>17</v>
      </c>
      <c r="E61" s="4" t="s">
        <v>109</v>
      </c>
      <c r="F61" s="4" t="s">
        <v>115</v>
      </c>
      <c r="G61" s="5" t="n">
        <v>20838</v>
      </c>
      <c r="H61" s="5" t="n">
        <v>20838</v>
      </c>
      <c r="I61" s="5" t="n">
        <f aca="false">H61-G61</f>
        <v>0</v>
      </c>
      <c r="J61" s="4"/>
      <c r="K61" s="4" t="s">
        <v>149</v>
      </c>
      <c r="L61" s="4" t="n">
        <v>1</v>
      </c>
      <c r="M61" s="6" t="s">
        <v>21</v>
      </c>
    </row>
    <row r="62" customFormat="false" ht="15" hidden="false" customHeight="false" outlineLevel="0" collapsed="false">
      <c r="A62" s="4" t="n">
        <v>58</v>
      </c>
      <c r="B62" s="4" t="s">
        <v>154</v>
      </c>
      <c r="C62" s="4" t="s">
        <v>132</v>
      </c>
      <c r="D62" s="4" t="s">
        <v>126</v>
      </c>
      <c r="E62" s="4" t="s">
        <v>127</v>
      </c>
      <c r="F62" s="4" t="s">
        <v>115</v>
      </c>
      <c r="G62" s="5" t="n">
        <v>21028</v>
      </c>
      <c r="H62" s="5" t="n">
        <v>21028</v>
      </c>
      <c r="I62" s="5" t="n">
        <f aca="false">H62-G62</f>
        <v>0</v>
      </c>
      <c r="J62" s="4"/>
      <c r="K62" s="4" t="s">
        <v>149</v>
      </c>
      <c r="L62" s="4" t="n">
        <v>2</v>
      </c>
      <c r="M62" s="6" t="s">
        <v>21</v>
      </c>
    </row>
    <row r="63" customFormat="false" ht="15" hidden="false" customHeight="false" outlineLevel="0" collapsed="false">
      <c r="A63" s="4" t="n">
        <v>59</v>
      </c>
      <c r="B63" s="4" t="s">
        <v>155</v>
      </c>
      <c r="C63" s="4" t="s">
        <v>156</v>
      </c>
      <c r="D63" s="4" t="s">
        <v>17</v>
      </c>
      <c r="E63" s="4" t="s">
        <v>109</v>
      </c>
      <c r="F63" s="4" t="s">
        <v>115</v>
      </c>
      <c r="G63" s="5" t="n">
        <v>34620</v>
      </c>
      <c r="H63" s="5" t="n">
        <v>34620</v>
      </c>
      <c r="I63" s="5" t="n">
        <f aca="false">H63-G63</f>
        <v>0</v>
      </c>
      <c r="J63" s="4"/>
      <c r="K63" s="4" t="s">
        <v>149</v>
      </c>
      <c r="L63" s="4" t="n">
        <v>0</v>
      </c>
      <c r="M63" s="6" t="s">
        <v>21</v>
      </c>
    </row>
    <row r="64" customFormat="false" ht="15" hidden="false" customHeight="false" outlineLevel="0" collapsed="false">
      <c r="A64" s="4" t="n">
        <v>60</v>
      </c>
      <c r="B64" s="4" t="s">
        <v>157</v>
      </c>
      <c r="C64" s="4" t="s">
        <v>156</v>
      </c>
      <c r="D64" s="4" t="s">
        <v>17</v>
      </c>
      <c r="E64" s="4" t="s">
        <v>158</v>
      </c>
      <c r="F64" s="4" t="s">
        <v>115</v>
      </c>
      <c r="G64" s="5" t="n">
        <v>8430</v>
      </c>
      <c r="H64" s="5" t="n">
        <v>8430</v>
      </c>
      <c r="I64" s="5" t="n">
        <f aca="false">H64-G64</f>
        <v>0</v>
      </c>
      <c r="J64" s="4"/>
      <c r="K64" s="4" t="s">
        <v>149</v>
      </c>
      <c r="L64" s="4" t="n">
        <v>0</v>
      </c>
      <c r="M64" s="6" t="s">
        <v>21</v>
      </c>
    </row>
    <row r="65" customFormat="false" ht="15" hidden="false" customHeight="false" outlineLevel="0" collapsed="false">
      <c r="A65" s="4" t="n">
        <v>61</v>
      </c>
      <c r="B65" s="4" t="s">
        <v>159</v>
      </c>
      <c r="C65" s="4" t="s">
        <v>156</v>
      </c>
      <c r="D65" s="4" t="s">
        <v>17</v>
      </c>
      <c r="E65" s="4" t="s">
        <v>109</v>
      </c>
      <c r="F65" s="4" t="s">
        <v>115</v>
      </c>
      <c r="G65" s="5" t="n">
        <v>15129</v>
      </c>
      <c r="H65" s="5" t="n">
        <v>15129</v>
      </c>
      <c r="I65" s="5" t="n">
        <f aca="false">H65-G65</f>
        <v>0</v>
      </c>
      <c r="J65" s="4"/>
      <c r="K65" s="4" t="s">
        <v>149</v>
      </c>
      <c r="L65" s="4" t="n">
        <v>2</v>
      </c>
      <c r="M65" s="6" t="s">
        <v>21</v>
      </c>
    </row>
    <row r="66" customFormat="false" ht="15" hidden="false" customHeight="false" outlineLevel="0" collapsed="false">
      <c r="A66" s="4" t="n">
        <v>62</v>
      </c>
      <c r="B66" s="4" t="s">
        <v>160</v>
      </c>
      <c r="C66" s="4" t="s">
        <v>143</v>
      </c>
      <c r="D66" s="4" t="s">
        <v>17</v>
      </c>
      <c r="E66" s="4" t="s">
        <v>134</v>
      </c>
      <c r="F66" s="4" t="s">
        <v>115</v>
      </c>
      <c r="G66" s="5" t="n">
        <v>12348</v>
      </c>
      <c r="H66" s="5" t="n">
        <v>12348</v>
      </c>
      <c r="I66" s="5" t="n">
        <f aca="false">H66-G66</f>
        <v>0</v>
      </c>
      <c r="J66" s="4"/>
      <c r="K66" s="4" t="s">
        <v>161</v>
      </c>
      <c r="L66" s="4" t="n">
        <v>0</v>
      </c>
      <c r="M66" s="6" t="s">
        <v>21</v>
      </c>
    </row>
    <row r="67" customFormat="false" ht="15" hidden="false" customHeight="false" outlineLevel="0" collapsed="false">
      <c r="A67" s="4" t="n">
        <v>63</v>
      </c>
      <c r="B67" s="4" t="s">
        <v>162</v>
      </c>
      <c r="C67" s="4" t="s">
        <v>163</v>
      </c>
      <c r="D67" s="4" t="s">
        <v>17</v>
      </c>
      <c r="E67" s="4" t="s">
        <v>109</v>
      </c>
      <c r="F67" s="4" t="s">
        <v>115</v>
      </c>
      <c r="G67" s="5" t="n">
        <v>11519</v>
      </c>
      <c r="H67" s="5" t="n">
        <v>11519</v>
      </c>
      <c r="I67" s="5" t="n">
        <f aca="false">H67-G67</f>
        <v>0</v>
      </c>
      <c r="J67" s="4"/>
      <c r="K67" s="4" t="s">
        <v>161</v>
      </c>
      <c r="L67" s="4" t="n">
        <v>1</v>
      </c>
      <c r="M67" s="6" t="s">
        <v>21</v>
      </c>
    </row>
    <row r="68" customFormat="false" ht="15" hidden="false" customHeight="false" outlineLevel="0" collapsed="false">
      <c r="A68" s="4" t="n">
        <v>64</v>
      </c>
      <c r="B68" s="4" t="s">
        <v>164</v>
      </c>
      <c r="C68" s="4" t="s">
        <v>165</v>
      </c>
      <c r="D68" s="4" t="s">
        <v>17</v>
      </c>
      <c r="E68" s="4" t="s">
        <v>83</v>
      </c>
      <c r="F68" s="4" t="s">
        <v>115</v>
      </c>
      <c r="G68" s="5" t="n">
        <v>20565</v>
      </c>
      <c r="H68" s="5" t="n">
        <v>20565</v>
      </c>
      <c r="I68" s="5" t="n">
        <f aca="false">H68-G68</f>
        <v>0</v>
      </c>
      <c r="J68" s="4"/>
      <c r="K68" s="4" t="s">
        <v>166</v>
      </c>
      <c r="L68" s="4" t="n">
        <v>2</v>
      </c>
      <c r="M68" s="6" t="s">
        <v>21</v>
      </c>
    </row>
    <row r="69" customFormat="false" ht="15" hidden="false" customHeight="false" outlineLevel="0" collapsed="false">
      <c r="A69" s="4" t="n">
        <v>65</v>
      </c>
      <c r="B69" s="4" t="s">
        <v>167</v>
      </c>
      <c r="C69" s="4" t="s">
        <v>165</v>
      </c>
      <c r="D69" s="4" t="s">
        <v>17</v>
      </c>
      <c r="E69" s="4" t="s">
        <v>18</v>
      </c>
      <c r="F69" s="4" t="s">
        <v>115</v>
      </c>
      <c r="G69" s="5" t="n">
        <v>4760</v>
      </c>
      <c r="H69" s="5" t="n">
        <v>4760</v>
      </c>
      <c r="I69" s="5" t="n">
        <f aca="false">H69-G69</f>
        <v>0</v>
      </c>
      <c r="J69" s="4"/>
      <c r="K69" s="4" t="s">
        <v>166</v>
      </c>
      <c r="L69" s="4" t="n">
        <v>1</v>
      </c>
      <c r="M69" s="6" t="s">
        <v>21</v>
      </c>
    </row>
    <row r="70" customFormat="false" ht="15" hidden="false" customHeight="false" outlineLevel="0" collapsed="false">
      <c r="A70" s="4" t="n">
        <v>66</v>
      </c>
      <c r="B70" s="4" t="s">
        <v>168</v>
      </c>
      <c r="C70" s="4" t="s">
        <v>169</v>
      </c>
      <c r="D70" s="4" t="s">
        <v>17</v>
      </c>
      <c r="E70" s="4" t="s">
        <v>109</v>
      </c>
      <c r="F70" s="4" t="s">
        <v>115</v>
      </c>
      <c r="G70" s="5" t="n">
        <v>20817</v>
      </c>
      <c r="H70" s="5" t="n">
        <v>20817</v>
      </c>
      <c r="I70" s="5" t="n">
        <f aca="false">H70-G70</f>
        <v>0</v>
      </c>
      <c r="J70" s="4"/>
      <c r="K70" s="4" t="s">
        <v>166</v>
      </c>
      <c r="L70" s="4" t="n">
        <v>3</v>
      </c>
      <c r="M70" s="6" t="s">
        <v>21</v>
      </c>
    </row>
    <row r="71" customFormat="false" ht="15" hidden="false" customHeight="false" outlineLevel="0" collapsed="false">
      <c r="A71" s="4" t="n">
        <v>67</v>
      </c>
      <c r="B71" s="4" t="s">
        <v>170</v>
      </c>
      <c r="C71" s="4" t="s">
        <v>169</v>
      </c>
      <c r="D71" s="4" t="s">
        <v>17</v>
      </c>
      <c r="E71" s="4" t="s">
        <v>18</v>
      </c>
      <c r="F71" s="4" t="s">
        <v>115</v>
      </c>
      <c r="G71" s="5" t="n">
        <v>25357</v>
      </c>
      <c r="H71" s="5" t="n">
        <v>25357</v>
      </c>
      <c r="I71" s="5" t="n">
        <f aca="false">H71-G71</f>
        <v>0</v>
      </c>
      <c r="J71" s="4"/>
      <c r="K71" s="4" t="s">
        <v>166</v>
      </c>
      <c r="L71" s="4" t="n">
        <v>0</v>
      </c>
      <c r="M71" s="6" t="s">
        <v>21</v>
      </c>
    </row>
    <row r="72" customFormat="false" ht="15" hidden="false" customHeight="false" outlineLevel="0" collapsed="false">
      <c r="A72" s="4" t="n">
        <v>68</v>
      </c>
      <c r="B72" s="4" t="s">
        <v>171</v>
      </c>
      <c r="C72" s="4" t="s">
        <v>172</v>
      </c>
      <c r="D72" s="4" t="s">
        <v>17</v>
      </c>
      <c r="E72" s="4" t="s">
        <v>173</v>
      </c>
      <c r="F72" s="4" t="s">
        <v>115</v>
      </c>
      <c r="G72" s="5" t="n">
        <v>5920</v>
      </c>
      <c r="H72" s="5" t="n">
        <v>5920</v>
      </c>
      <c r="I72" s="5" t="n">
        <f aca="false">H72-G72</f>
        <v>0</v>
      </c>
      <c r="J72" s="4"/>
      <c r="K72" s="4" t="s">
        <v>166</v>
      </c>
      <c r="L72" s="4" t="n">
        <v>1</v>
      </c>
      <c r="M72" s="6" t="s">
        <v>21</v>
      </c>
    </row>
    <row r="73" customFormat="false" ht="15" hidden="false" customHeight="false" outlineLevel="0" collapsed="false">
      <c r="A73" s="4" t="n">
        <v>69</v>
      </c>
      <c r="B73" s="4" t="s">
        <v>174</v>
      </c>
      <c r="C73" s="4" t="s">
        <v>175</v>
      </c>
      <c r="D73" s="4" t="s">
        <v>17</v>
      </c>
      <c r="E73" s="4" t="s">
        <v>176</v>
      </c>
      <c r="F73" s="4" t="s">
        <v>115</v>
      </c>
      <c r="G73" s="5" t="n">
        <v>6121</v>
      </c>
      <c r="H73" s="5" t="n">
        <v>6121</v>
      </c>
      <c r="I73" s="5" t="n">
        <f aca="false">H73-G73</f>
        <v>0</v>
      </c>
      <c r="J73" s="4"/>
      <c r="K73" s="4" t="s">
        <v>177</v>
      </c>
      <c r="L73" s="4" t="n">
        <v>1</v>
      </c>
      <c r="M73" s="6" t="s">
        <v>21</v>
      </c>
    </row>
    <row r="74" customFormat="false" ht="15" hidden="false" customHeight="false" outlineLevel="0" collapsed="false">
      <c r="A74" s="4" t="n">
        <v>70</v>
      </c>
      <c r="B74" s="4" t="s">
        <v>178</v>
      </c>
      <c r="C74" s="4" t="s">
        <v>161</v>
      </c>
      <c r="D74" s="4" t="s">
        <v>17</v>
      </c>
      <c r="E74" s="4" t="s">
        <v>109</v>
      </c>
      <c r="F74" s="4" t="s">
        <v>115</v>
      </c>
      <c r="G74" s="5" t="n">
        <v>7448</v>
      </c>
      <c r="H74" s="5" t="n">
        <v>7448</v>
      </c>
      <c r="I74" s="5" t="n">
        <f aca="false">H74-G74</f>
        <v>0</v>
      </c>
      <c r="J74" s="4"/>
      <c r="K74" s="4" t="s">
        <v>177</v>
      </c>
      <c r="L74" s="4" t="n">
        <v>1</v>
      </c>
      <c r="M74" s="6" t="s">
        <v>21</v>
      </c>
    </row>
    <row r="75" customFormat="false" ht="15" hidden="false" customHeight="false" outlineLevel="0" collapsed="false">
      <c r="A75" s="4" t="n">
        <v>71</v>
      </c>
      <c r="B75" s="4" t="s">
        <v>179</v>
      </c>
      <c r="C75" s="4" t="s">
        <v>180</v>
      </c>
      <c r="D75" s="4" t="s">
        <v>17</v>
      </c>
      <c r="E75" s="4" t="s">
        <v>18</v>
      </c>
      <c r="F75" s="4" t="s">
        <v>115</v>
      </c>
      <c r="G75" s="5" t="n">
        <v>16030</v>
      </c>
      <c r="H75" s="5" t="n">
        <v>16030</v>
      </c>
      <c r="I75" s="5" t="n">
        <f aca="false">H75-G75</f>
        <v>0</v>
      </c>
      <c r="J75" s="4"/>
      <c r="K75" s="4" t="s">
        <v>177</v>
      </c>
      <c r="L75" s="4" t="n">
        <v>1</v>
      </c>
      <c r="M75" s="6" t="s">
        <v>21</v>
      </c>
    </row>
    <row r="76" customFormat="false" ht="15" hidden="false" customHeight="false" outlineLevel="0" collapsed="false">
      <c r="A76" s="4" t="n">
        <v>72</v>
      </c>
      <c r="B76" s="4" t="s">
        <v>181</v>
      </c>
      <c r="C76" s="4" t="s">
        <v>180</v>
      </c>
      <c r="D76" s="4" t="s">
        <v>17</v>
      </c>
      <c r="E76" s="4" t="s">
        <v>176</v>
      </c>
      <c r="F76" s="4" t="s">
        <v>115</v>
      </c>
      <c r="G76" s="5" t="n">
        <v>19718</v>
      </c>
      <c r="H76" s="5" t="n">
        <v>19718</v>
      </c>
      <c r="I76" s="5" t="n">
        <f aca="false">H76-G76</f>
        <v>0</v>
      </c>
      <c r="J76" s="4"/>
      <c r="K76" s="4" t="s">
        <v>177</v>
      </c>
      <c r="L76" s="4" t="n">
        <v>1</v>
      </c>
      <c r="M76" s="6" t="s">
        <v>21</v>
      </c>
    </row>
    <row r="77" customFormat="false" ht="15" hidden="false" customHeight="false" outlineLevel="0" collapsed="false">
      <c r="A77" s="4" t="n">
        <v>73</v>
      </c>
      <c r="B77" s="4" t="s">
        <v>182</v>
      </c>
      <c r="C77" s="4" t="s">
        <v>183</v>
      </c>
      <c r="D77" s="4" t="s">
        <v>17</v>
      </c>
      <c r="E77" s="4" t="s">
        <v>18</v>
      </c>
      <c r="F77" s="4" t="s">
        <v>115</v>
      </c>
      <c r="G77" s="5" t="n">
        <v>22079</v>
      </c>
      <c r="H77" s="5" t="n">
        <v>22079</v>
      </c>
      <c r="I77" s="5" t="n">
        <f aca="false">H77-G77</f>
        <v>0</v>
      </c>
      <c r="J77" s="4"/>
      <c r="K77" s="4" t="s">
        <v>177</v>
      </c>
      <c r="L77" s="4" t="n">
        <v>0</v>
      </c>
      <c r="M77" s="6" t="s">
        <v>21</v>
      </c>
    </row>
    <row r="78" customFormat="false" ht="15" hidden="false" customHeight="false" outlineLevel="0" collapsed="false">
      <c r="A78" s="4" t="n">
        <v>74</v>
      </c>
      <c r="B78" s="4" t="s">
        <v>184</v>
      </c>
      <c r="C78" s="4" t="s">
        <v>185</v>
      </c>
      <c r="D78" s="4" t="s">
        <v>17</v>
      </c>
      <c r="E78" s="4" t="s">
        <v>18</v>
      </c>
      <c r="F78" s="4" t="s">
        <v>115</v>
      </c>
      <c r="G78" s="5" t="n">
        <v>7159</v>
      </c>
      <c r="H78" s="5" t="n">
        <v>7159</v>
      </c>
      <c r="I78" s="5" t="n">
        <f aca="false">H78-G78</f>
        <v>0</v>
      </c>
      <c r="J78" s="4"/>
      <c r="K78" s="4" t="s">
        <v>186</v>
      </c>
      <c r="L78" s="4" t="n">
        <v>0</v>
      </c>
      <c r="M78" s="6" t="s">
        <v>21</v>
      </c>
    </row>
    <row r="79" customFormat="false" ht="15" hidden="false" customHeight="false" outlineLevel="0" collapsed="false">
      <c r="A79" s="4" t="n">
        <v>75</v>
      </c>
      <c r="B79" s="4" t="s">
        <v>187</v>
      </c>
      <c r="C79" s="4" t="s">
        <v>188</v>
      </c>
      <c r="D79" s="4" t="s">
        <v>17</v>
      </c>
      <c r="E79" s="4" t="s">
        <v>93</v>
      </c>
      <c r="F79" s="4" t="s">
        <v>115</v>
      </c>
      <c r="G79" s="5" t="n">
        <v>9285</v>
      </c>
      <c r="H79" s="5" t="n">
        <v>9285</v>
      </c>
      <c r="I79" s="5" t="n">
        <f aca="false">H79-G79</f>
        <v>0</v>
      </c>
      <c r="J79" s="4"/>
      <c r="K79" s="4" t="s">
        <v>189</v>
      </c>
      <c r="L79" s="4" t="n">
        <v>0</v>
      </c>
      <c r="M79" s="6" t="s">
        <v>21</v>
      </c>
    </row>
    <row r="80" customFormat="false" ht="15" hidden="false" customHeight="false" outlineLevel="0" collapsed="false">
      <c r="A80" s="4" t="n">
        <v>76</v>
      </c>
      <c r="B80" s="4" t="s">
        <v>190</v>
      </c>
      <c r="C80" s="4" t="s">
        <v>186</v>
      </c>
      <c r="D80" s="4" t="s">
        <v>17</v>
      </c>
      <c r="E80" s="4" t="s">
        <v>109</v>
      </c>
      <c r="F80" s="4" t="s">
        <v>115</v>
      </c>
      <c r="G80" s="5" t="n">
        <v>6077</v>
      </c>
      <c r="H80" s="5" t="n">
        <v>6077</v>
      </c>
      <c r="I80" s="5" t="n">
        <f aca="false">H80-G80</f>
        <v>0</v>
      </c>
      <c r="J80" s="4"/>
      <c r="K80" s="4" t="s">
        <v>189</v>
      </c>
      <c r="L80" s="4" t="n">
        <v>1</v>
      </c>
      <c r="M80" s="6" t="s">
        <v>21</v>
      </c>
    </row>
    <row r="81" customFormat="false" ht="15" hidden="false" customHeight="false" outlineLevel="0" collapsed="false">
      <c r="A81" s="4" t="n">
        <v>77</v>
      </c>
      <c r="B81" s="4" t="s">
        <v>191</v>
      </c>
      <c r="C81" s="4" t="s">
        <v>192</v>
      </c>
      <c r="D81" s="4" t="s">
        <v>17</v>
      </c>
      <c r="E81" s="4" t="s">
        <v>109</v>
      </c>
      <c r="F81" s="4" t="s">
        <v>115</v>
      </c>
      <c r="G81" s="5" t="n">
        <v>15942</v>
      </c>
      <c r="H81" s="5" t="n">
        <v>15942</v>
      </c>
      <c r="I81" s="5" t="n">
        <f aca="false">H81-G81</f>
        <v>0</v>
      </c>
      <c r="J81" s="4"/>
      <c r="K81" s="4" t="s">
        <v>189</v>
      </c>
      <c r="L81" s="4" t="n">
        <v>0</v>
      </c>
      <c r="M81" s="6" t="s">
        <v>21</v>
      </c>
    </row>
    <row r="82" customFormat="false" ht="15" hidden="false" customHeight="false" outlineLevel="0" collapsed="false">
      <c r="A82" s="10"/>
      <c r="B82" s="11" t="s">
        <v>193</v>
      </c>
      <c r="C82" s="10"/>
      <c r="D82" s="10"/>
      <c r="E82" s="10"/>
      <c r="F82" s="10"/>
      <c r="G82" s="12" t="n">
        <f aca="false">SUM(G5:G81)</f>
        <v>1143136</v>
      </c>
      <c r="H82" s="12" t="n">
        <f aca="false">SUM(H5:H81)</f>
        <v>1142890.5</v>
      </c>
      <c r="I82" s="12" t="n">
        <f aca="false">SUM(I5:I81)</f>
        <v>-245.5</v>
      </c>
      <c r="J82" s="10"/>
      <c r="K82" s="10"/>
      <c r="L82" s="11" t="n">
        <f aca="false">SUM(L5:L81)</f>
        <v>28</v>
      </c>
      <c r="M82" s="10"/>
    </row>
    <row r="84" customFormat="false" ht="15" hidden="false" customHeight="false" outlineLevel="0" collapsed="false">
      <c r="B84" s="13" t="s">
        <v>194</v>
      </c>
    </row>
    <row r="85" customFormat="false" ht="15" hidden="false" customHeight="false" outlineLevel="0" collapsed="false">
      <c r="A85" s="14" t="n">
        <v>1</v>
      </c>
      <c r="B85" s="14" t="s">
        <v>195</v>
      </c>
      <c r="C85" s="14" t="s">
        <v>132</v>
      </c>
      <c r="D85" s="14" t="s">
        <v>17</v>
      </c>
      <c r="E85" s="14" t="s">
        <v>31</v>
      </c>
      <c r="F85" s="14" t="s">
        <v>196</v>
      </c>
      <c r="G85" s="15" t="n">
        <v>8976</v>
      </c>
      <c r="H85" s="15" t="n">
        <v>0</v>
      </c>
      <c r="I85" s="15" t="n">
        <f aca="false">H85-G85</f>
        <v>-8976</v>
      </c>
      <c r="J85" s="14" t="s">
        <v>197</v>
      </c>
      <c r="K85" s="14" t="s">
        <v>149</v>
      </c>
      <c r="L85" s="14" t="n">
        <v>1</v>
      </c>
      <c r="M85" s="16" t="s">
        <v>21</v>
      </c>
    </row>
    <row r="86" customFormat="false" ht="15" hidden="false" customHeight="false" outlineLevel="0" collapsed="false">
      <c r="A86" s="14" t="n">
        <v>2</v>
      </c>
      <c r="B86" s="14" t="s">
        <v>198</v>
      </c>
      <c r="C86" s="14" t="s">
        <v>156</v>
      </c>
      <c r="D86" s="14" t="s">
        <v>17</v>
      </c>
      <c r="E86" s="14" t="s">
        <v>18</v>
      </c>
      <c r="F86" s="14" t="s">
        <v>196</v>
      </c>
      <c r="G86" s="15" t="n">
        <v>7497</v>
      </c>
      <c r="H86" s="15" t="n">
        <v>0</v>
      </c>
      <c r="I86" s="15" t="n">
        <f aca="false">H86-G86</f>
        <v>-7497</v>
      </c>
      <c r="J86" s="14" t="s">
        <v>197</v>
      </c>
      <c r="K86" s="14" t="s">
        <v>149</v>
      </c>
      <c r="L86" s="14" t="n">
        <v>1</v>
      </c>
      <c r="M86" s="16" t="s">
        <v>21</v>
      </c>
    </row>
    <row r="87" customFormat="false" ht="15" hidden="false" customHeight="false" outlineLevel="0" collapsed="false">
      <c r="A87" s="17"/>
      <c r="B87" s="18" t="s">
        <v>199</v>
      </c>
      <c r="C87" s="17"/>
      <c r="D87" s="17"/>
      <c r="E87" s="17"/>
      <c r="F87" s="17"/>
      <c r="G87" s="19" t="n">
        <f aca="false">SUM(G85:G86)</f>
        <v>16473</v>
      </c>
      <c r="H87" s="19" t="n">
        <f aca="false">SUM(H85:H86)</f>
        <v>0</v>
      </c>
      <c r="I87" s="19" t="n">
        <f aca="false">SUM(I85:I86)</f>
        <v>-16473</v>
      </c>
      <c r="J87" s="17"/>
      <c r="K87" s="17"/>
      <c r="L87" s="17"/>
      <c r="M87" s="17"/>
    </row>
    <row r="89" customFormat="false" ht="15" hidden="false" customHeight="false" outlineLevel="0" collapsed="false">
      <c r="B89" s="13" t="s">
        <v>200</v>
      </c>
      <c r="G89" s="20" t="n">
        <f aca="false">G82+G87</f>
        <v>1159609</v>
      </c>
      <c r="H89" s="20" t="n">
        <f aca="false">H82+H87</f>
        <v>1142890.5</v>
      </c>
      <c r="I89" s="20" t="n">
        <f aca="false">I82+I87</f>
        <v>-16718.5</v>
      </c>
    </row>
    <row r="91" customFormat="false" ht="15" hidden="false" customHeight="false" outlineLevel="0" collapsed="false">
      <c r="B91" s="2" t="s">
        <v>201</v>
      </c>
    </row>
  </sheetData>
  <autoFilter ref="A4:M81"/>
  <hyperlinks>
    <hyperlink ref="M5" r:id="rId1" display="open"/>
    <hyperlink ref="M6" r:id="rId2" display="open"/>
    <hyperlink ref="M7" r:id="rId3" display="open"/>
    <hyperlink ref="M8" r:id="rId4" display="open"/>
    <hyperlink ref="M9" r:id="rId5" display="open"/>
    <hyperlink ref="M10" r:id="rId6" display="open"/>
    <hyperlink ref="M11" r:id="rId7" display="open"/>
    <hyperlink ref="M12" r:id="rId8" display="open"/>
    <hyperlink ref="M13" r:id="rId9" display="open"/>
    <hyperlink ref="M14" r:id="rId10" display="open"/>
    <hyperlink ref="M16" r:id="rId11" display="open"/>
    <hyperlink ref="M17" r:id="rId12" display="open"/>
    <hyperlink ref="M18" r:id="rId13" display="open"/>
    <hyperlink ref="M19" r:id="rId14" display="open"/>
    <hyperlink ref="M20" r:id="rId15" display="open"/>
    <hyperlink ref="M21" r:id="rId16" display="open"/>
    <hyperlink ref="M22" r:id="rId17" display="open"/>
    <hyperlink ref="M23" r:id="rId18" display="open"/>
    <hyperlink ref="M24" r:id="rId19" display="open"/>
    <hyperlink ref="M25" r:id="rId20" display="open"/>
    <hyperlink ref="M26" r:id="rId21" display="open"/>
    <hyperlink ref="M27" r:id="rId22" display="open"/>
    <hyperlink ref="M28" r:id="rId23" display="open"/>
    <hyperlink ref="M29" r:id="rId24" display="open"/>
    <hyperlink ref="M30" r:id="rId25" display="open"/>
    <hyperlink ref="M31" r:id="rId26" display="open"/>
    <hyperlink ref="M32" r:id="rId27" display="open"/>
    <hyperlink ref="M33" r:id="rId28" display="open"/>
    <hyperlink ref="M34" r:id="rId29" display="open"/>
    <hyperlink ref="M35" r:id="rId30" display="open"/>
    <hyperlink ref="M36" r:id="rId31" display="open"/>
    <hyperlink ref="M37" r:id="rId32" display="open"/>
    <hyperlink ref="M38" r:id="rId33" display="open"/>
    <hyperlink ref="M39" r:id="rId34" display="open"/>
    <hyperlink ref="M40" r:id="rId35" display="open"/>
    <hyperlink ref="M41" r:id="rId36" display="open"/>
    <hyperlink ref="M42" r:id="rId37" display="open"/>
    <hyperlink ref="M43" r:id="rId38" display="open"/>
    <hyperlink ref="M44" r:id="rId39" display="open"/>
    <hyperlink ref="M45" r:id="rId40" display="open"/>
    <hyperlink ref="M46" r:id="rId41" display="open"/>
    <hyperlink ref="M47" r:id="rId42" display="open"/>
    <hyperlink ref="M48" r:id="rId43" display="open"/>
    <hyperlink ref="M49" r:id="rId44" display="open"/>
    <hyperlink ref="M50" r:id="rId45" display="open"/>
    <hyperlink ref="M51" r:id="rId46" display="open"/>
    <hyperlink ref="M52" r:id="rId47" display="open"/>
    <hyperlink ref="M53" r:id="rId48" display="open"/>
    <hyperlink ref="M54" r:id="rId49" display="open"/>
    <hyperlink ref="M55" r:id="rId50" display="open"/>
    <hyperlink ref="M56" r:id="rId51" display="open"/>
    <hyperlink ref="M57" r:id="rId52" display="open"/>
    <hyperlink ref="M58" r:id="rId53" display="open"/>
    <hyperlink ref="M59" r:id="rId54" display="open"/>
    <hyperlink ref="M60" r:id="rId55" display="open"/>
    <hyperlink ref="M61" r:id="rId56" display="open"/>
    <hyperlink ref="M62" r:id="rId57" display="open"/>
    <hyperlink ref="M63" r:id="rId58" display="open"/>
    <hyperlink ref="M64" r:id="rId59" display="open"/>
    <hyperlink ref="M65" r:id="rId60" display="open"/>
    <hyperlink ref="M66" r:id="rId61" display="open"/>
    <hyperlink ref="M67" r:id="rId62" display="open"/>
    <hyperlink ref="M68" r:id="rId63" display="open"/>
    <hyperlink ref="M69" r:id="rId64" display="open"/>
    <hyperlink ref="M70" r:id="rId65" display="open"/>
    <hyperlink ref="M71" r:id="rId66" display="open"/>
    <hyperlink ref="M72" r:id="rId67" display="open"/>
    <hyperlink ref="M73" r:id="rId68" display="open"/>
    <hyperlink ref="M74" r:id="rId69" display="open"/>
    <hyperlink ref="M75" r:id="rId70" display="open"/>
    <hyperlink ref="M76" r:id="rId71" display="open"/>
    <hyperlink ref="M77" r:id="rId72" display="open"/>
    <hyperlink ref="M78" r:id="rId73" display="open"/>
    <hyperlink ref="M79" r:id="rId74" display="open"/>
    <hyperlink ref="M80" r:id="rId75" display="open"/>
    <hyperlink ref="M81" r:id="rId76" display="open"/>
    <hyperlink ref="M85" r:id="rId77" display="open"/>
    <hyperlink ref="M86" r:id="rId78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2026-10-16T01:28:04Z</dcterms:created>
  <dc:creator>openpyxl</dc:creator>
  <dc:description/>
  <dc:language>en-US</dc:language>
  <cp:lastModifiedBy/>
  <dcterms:modified xsi:type="dcterms:W3CDTF">2026-10-16T01:28:04Z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